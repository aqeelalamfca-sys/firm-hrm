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26163887842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_Ref" sheetId="1" r:id="R29736eda4fa44a6d"/>
    <x:sheet xmlns:r="http://schemas.openxmlformats.org/officeDocument/2006/relationships" name="README" sheetId="2" r:id="R678b9364276a4e90"/>
    <x:sheet xmlns:r="http://schemas.openxmlformats.org/officeDocument/2006/relationships" name="Entity_Profile" sheetId="3" r:id="R7e6a028606894c98"/>
    <x:sheet xmlns:r="http://schemas.openxmlformats.org/officeDocument/2006/relationships" name="COA_Master" sheetId="4" r:id="R8090ed71c2814d5e"/>
    <x:sheet xmlns:r="http://schemas.openxmlformats.org/officeDocument/2006/relationships" name="FS_Extraction_Staging" sheetId="5" r:id="Rd9fa9af17a2945f0"/>
    <x:sheet xmlns:r="http://schemas.openxmlformats.org/officeDocument/2006/relationships" name="FS_Mapping" sheetId="6" r:id="R01924d2ac7d24533"/>
    <x:sheet xmlns:r="http://schemas.openxmlformats.org/officeDocument/2006/relationships" name="Journal_Import" sheetId="7" r:id="Rb1ed912e54824d03"/>
    <x:sheet xmlns:r="http://schemas.openxmlformats.org/officeDocument/2006/relationships" name="Audit_Engine_Master" sheetId="8" r:id="Rfc6730dea1aa4bda"/>
    <x:sheet xmlns:r="http://schemas.openxmlformats.org/officeDocument/2006/relationships" name="WP_Trigger_Engine" sheetId="9" r:id="Rb5fc650eccec4f93"/>
    <x:sheet xmlns:r="http://schemas.openxmlformats.org/officeDocument/2006/relationships" name="Assertion_Linkage" sheetId="10" r:id="Rc7223bfcc7d34447"/>
    <x:sheet xmlns:r="http://schemas.openxmlformats.org/officeDocument/2006/relationships" name="Sampling_Rules" sheetId="11" r:id="R9176fbd31e454194"/>
    <x:sheet xmlns:r="http://schemas.openxmlformats.org/officeDocument/2006/relationships" name="Analytics_Engine" sheetId="12" r:id="R943db1b124a041c0"/>
    <x:sheet xmlns:r="http://schemas.openxmlformats.org/officeDocument/2006/relationships" name="Control_Matrix" sheetId="13" r:id="Rae5e98dd83ec4312"/>
    <x:sheet xmlns:r="http://schemas.openxmlformats.org/officeDocument/2006/relationships" name="Evidence_Log" sheetId="14" r:id="R56edb3162a55446e"/>
    <x:sheet xmlns:r="http://schemas.openxmlformats.org/officeDocument/2006/relationships" name="WP_Index" sheetId="15" r:id="R805dce492d9b411e"/>
    <x:sheet xmlns:r="http://schemas.openxmlformats.org/officeDocument/2006/relationships" name="Review_Signoff" sheetId="16" r:id="R99c86d72f59f4735"/>
    <x:sheet xmlns:r="http://schemas.openxmlformats.org/officeDocument/2006/relationships" name="TB_Generated" sheetId="17" r:id="Rd27fae3bf7d5402c"/>
    <x:sheet xmlns:r="http://schemas.openxmlformats.org/officeDocument/2006/relationships" name="GL_Generated" sheetId="18" r:id="Re338d0bf1a0c4da6"/>
    <x:sheet xmlns:r="http://schemas.openxmlformats.org/officeDocument/2006/relationships" name="Recon_Engine" sheetId="19" r:id="R8656059eac0046fd"/>
    <x:sheet xmlns:r="http://schemas.openxmlformats.org/officeDocument/2006/relationships" name="Data_Dictionary" sheetId="20" r:id="Rdcac198629fc4d9a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4" authorId="0">
      <x:text>
        <x:r>
          <x:t>Use this workbook as the backend schema for the working paper generator. The hidden Lists_Ref sheet feeds all dropdowns.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dd-mmm-yyyy"/>
    <x:numFmt numFmtId="165" formatCode="dd-mmm-yyyy hh:mm"/>
  </x:numFmts>
  <x:fonts count="11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color rgb="00666666"/>
    </x:font>
    <x:font>
      <x:b/>
    </x:font>
    <x:font>
      <x:b/>
      <x:sz val="11"/>
      <x:color rgb="00FFFFFF"/>
    </x:font>
    <x:font>
      <x:color rgb="000000FF"/>
    </x:font>
    <x:font>
      <x:color rgb="00000000"/>
    </x:font>
    <x:font>
      <x:i/>
      <x:color rgb="005B2C83"/>
    </x:font>
    <x:font>
      <x:color rgb="00008000"/>
    </x:font>
    <x:font>
      <x:u val="single"/>
      <x:color rgb="000563C1"/>
    </x:font>
    <x:font>
      <x:sz val="12"/>
      <x:color theme="10"/>
      <x:name val="Calibri"/>
      <x:family val="2"/>
      <x:scheme val="minor"/>
    </x:font>
  </x:fonts>
  <x:fills count="8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3F4F6"/>
      </x:patternFill>
    </x:fill>
    <x:fill>
      <x:patternFill patternType="solid">
        <x:fgColor rgb="00D9EAF7"/>
      </x:patternFill>
    </x:fill>
    <x:fill>
      <x:patternFill patternType="solid">
        <x:fgColor rgb="000F243E"/>
      </x:patternFill>
    </x:fill>
    <x:fill>
      <x:patternFill patternType="solid">
        <x:fgColor rgb="00EADCF8"/>
      </x:patternFill>
    </x:fill>
    <x:fill>
      <x:patternFill patternType="solid">
        <x:fgColor rgb="00FFF2CC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2">
    <x:xf numFmtId="0" fontId="0" fillId="0" borderId="0"/>
    <x:xf numFmtId="0" fontId="10" fillId="0" borderId="0"/>
  </x:cellStyleXfs>
  <x:cellXfs count="25">
    <x:xf numFmtId="0" fontId="0" fillId="0" borderId="0" xfId="0"/>
    <x:xf numFmtId="0" fontId="1" fillId="2" borderId="0" xfId="0" applyAlignment="1">
      <x:alignment horizontal="left" vertical="center"/>
    </x:xf>
    <x:xf numFmtId="0" fontId="2" fillId="3" borderId="0" xfId="0" applyAlignment="1">
      <x:alignment horizontal="left" vertical="top" wrapText="1"/>
    </x:xf>
    <x:xf numFmtId="0" fontId="3" fillId="4" borderId="0" xfId="0"/>
    <x:xf numFmtId="0" fontId="4" fillId="5" borderId="1" xfId="0" applyAlignment="1">
      <x:alignment horizontal="center" vertical="center" wrapText="1"/>
    </x:xf>
    <x:xf numFmtId="49" fontId="5" fillId="0" borderId="1" xfId="0" applyAlignment="1">
      <x:alignment horizontal="left" vertical="top" wrapText="1"/>
    </x:xf>
    <x:xf numFmtId="49" fontId="9" fillId="0" borderId="1" xfId="0" applyAlignment="1">
      <x:alignment horizontal="left" vertical="top" wrapText="1"/>
    </x:xf>
    <x:xf numFmtId="49" fontId="6" fillId="0" borderId="1" xfId="0" applyAlignment="1">
      <x:alignment horizontal="left" vertical="top" wrapText="1"/>
    </x:xf>
    <x:xf numFmtId="0" fontId="7" fillId="6" borderId="0" xfId="0"/>
    <x:xf numFmtId="164" fontId="5" fillId="0" borderId="1" xfId="0" applyAlignment="1">
      <x:alignment horizontal="left" vertical="top" wrapText="1"/>
    </x:xf>
    <x:xf numFmtId="38" fontId="5" fillId="0" borderId="1" xfId="0" applyAlignment="1">
      <x:alignment horizontal="right" vertical="center"/>
    </x:xf>
    <x:xf numFmtId="165" fontId="5" fillId="0" borderId="1" xfId="0" applyAlignment="1">
      <x:alignment horizontal="left" vertical="top" wrapText="1"/>
    </x:xf>
    <x:xf numFmtId="38" fontId="6" fillId="0" borderId="1" xfId="0" applyAlignment="1">
      <x:alignment horizontal="right" vertical="center"/>
    </x:xf>
    <x:xf numFmtId="38" fontId="7" fillId="6" borderId="0" xfId="0"/>
    <x:xf numFmtId="38" fontId="6" fillId="3" borderId="0" xfId="0"/>
    <x:xf numFmtId="38" fontId="4" fillId="5" borderId="1" xfId="0" applyAlignment="1">
      <x:alignment horizontal="center" vertical="center" wrapText="1"/>
    </x:xf>
    <x:xf numFmtId="0" fontId="8" fillId="6" borderId="1" xfId="0" applyAlignment="1">
      <x:alignment horizontal="left" vertical="top" wrapText="1"/>
    </x:xf>
    <x:xf numFmtId="38" fontId="8" fillId="7" borderId="1" xfId="0" applyAlignment="1">
      <x:alignment horizontal="left" vertical="top" wrapText="1"/>
    </x:xf>
    <x:xf numFmtId="0" fontId="8" fillId="0" borderId="1" xfId="0" applyAlignment="1">
      <x:alignment horizontal="left" vertical="top" wrapText="1"/>
    </x:xf>
    <x:xf numFmtId="0" fontId="6" fillId="0" borderId="1" xfId="0" applyAlignment="1">
      <x:alignment horizontal="left" vertical="top" wrapText="1"/>
    </x:xf>
    <x:xf numFmtId="0" fontId="5" fillId="0" borderId="1" xfId="0" applyAlignment="1">
      <x:alignment horizontal="left" vertical="top" wrapText="1"/>
    </x:xf>
    <x:xf numFmtId="0" fontId="2" fillId="0" borderId="1" xfId="0" applyAlignment="1">
      <x:alignment horizontal="left" vertical="top" wrapText="1"/>
    </x:xf>
    <x:xf numFmtId="0" fontId="10" fillId="0" borderId="0" xfId="1"/>
    <x:xf numFmtId="164" fontId="5" fillId="0" borderId="1" xfId="0" applyAlignment="1">
      <x:alignment horizontal="left" vertical="top" wrapText="1"/>
    </x:xf>
    <x:xf numFmtId="165" fontId="5" fillId="0" borderId="1" xfId="0" applyAlignment="1">
      <x:alignment horizontal="left" vertical="top" wrapText="1"/>
    </x:xf>
  </x:cellXfs>
  <x:cellStyles count="2">
    <x:cellStyle name="Normal" xfId="0"/>
    <x:cellStyle name="Hyperlink" xfId="1"/>
  </x:cellStyles>
  <x:dxfs count="1">
    <x:dxf>
      <x:fill>
        <x:patternFill>
          <x:bgColor rgb="00FCE4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6386afa88b4f85" /><Relationship Type="http://schemas.openxmlformats.org/officeDocument/2006/relationships/theme" Target="/xl/theme/theme1.xml" Id="R32bfccc29f2b4f87" /><Relationship Type="http://schemas.openxmlformats.org/officeDocument/2006/relationships/sharedStrings" Target="/xl/sharedStrings.xml" Id="R195aae4db68c4138" /><Relationship Type="http://schemas.openxmlformats.org/officeDocument/2006/relationships/worksheet" Target="/xl/worksheets/sheet1.xml" Id="R29736eda4fa44a6d" /><Relationship Type="http://schemas.openxmlformats.org/officeDocument/2006/relationships/worksheet" Target="/xl/worksheets/sheet2.xml" Id="R678b9364276a4e90" /><Relationship Type="http://schemas.openxmlformats.org/officeDocument/2006/relationships/worksheet" Target="/xl/worksheets/sheet3.xml" Id="R7e6a028606894c98" /><Relationship Type="http://schemas.openxmlformats.org/officeDocument/2006/relationships/worksheet" Target="/xl/worksheets/sheet4.xml" Id="R8090ed71c2814d5e" /><Relationship Type="http://schemas.openxmlformats.org/officeDocument/2006/relationships/worksheet" Target="/xl/worksheets/sheet5.xml" Id="Rd9fa9af17a2945f0" /><Relationship Type="http://schemas.openxmlformats.org/officeDocument/2006/relationships/worksheet" Target="/xl/worksheets/sheet6.xml" Id="R01924d2ac7d24533" /><Relationship Type="http://schemas.openxmlformats.org/officeDocument/2006/relationships/worksheet" Target="/xl/worksheets/sheet7.xml" Id="Rb1ed912e54824d03" /><Relationship Type="http://schemas.openxmlformats.org/officeDocument/2006/relationships/worksheet" Target="/xl/worksheets/sheet8.xml" Id="Rfc6730dea1aa4bda" /><Relationship Type="http://schemas.openxmlformats.org/officeDocument/2006/relationships/worksheet" Target="/xl/worksheets/sheet9.xml" Id="Rb5fc650eccec4f93" /><Relationship Type="http://schemas.openxmlformats.org/officeDocument/2006/relationships/worksheet" Target="/xl/worksheets/sheet10.xml" Id="Rc7223bfcc7d34447" /><Relationship Type="http://schemas.openxmlformats.org/officeDocument/2006/relationships/worksheet" Target="/xl/worksheets/sheet11.xml" Id="R9176fbd31e454194" /><Relationship Type="http://schemas.openxmlformats.org/officeDocument/2006/relationships/worksheet" Target="/xl/worksheets/sheet12.xml" Id="R943db1b124a041c0" /><Relationship Type="http://schemas.openxmlformats.org/officeDocument/2006/relationships/worksheet" Target="/xl/worksheets/sheet13.xml" Id="Rae5e98dd83ec4312" /><Relationship Type="http://schemas.openxmlformats.org/officeDocument/2006/relationships/worksheet" Target="/xl/worksheets/sheet14.xml" Id="R56edb3162a55446e" /><Relationship Type="http://schemas.openxmlformats.org/officeDocument/2006/relationships/worksheet" Target="/xl/worksheets/sheet15.xml" Id="R805dce492d9b411e" /><Relationship Type="http://schemas.openxmlformats.org/officeDocument/2006/relationships/worksheet" Target="/xl/worksheets/sheet16.xml" Id="R99c86d72f59f4735" /><Relationship Type="http://schemas.openxmlformats.org/officeDocument/2006/relationships/worksheet" Target="/xl/worksheets/sheet17.xml" Id="Rd27fae3bf7d5402c" /><Relationship Type="http://schemas.openxmlformats.org/officeDocument/2006/relationships/worksheet" Target="/xl/worksheets/sheet18.xml" Id="Re338d0bf1a0c4da6" /><Relationship Type="http://schemas.openxmlformats.org/officeDocument/2006/relationships/worksheet" Target="/xl/worksheets/sheet19.xml" Id="R8656059eac0046fd" /><Relationship Type="http://schemas.openxmlformats.org/officeDocument/2006/relationships/worksheet" Target="/xl/worksheets/sheet20.xml" Id="Rdcac198629fc4d9a" /><Relationship Type="http://schemas.microsoft.com/office/2017/10/relationships/person" Target="/xl/persons/person.xml" Id="Recf01b72a3a845d5" /></Relationships>
</file>

<file path=xl/persons/person.xml><?xml version="1.0" encoding="utf-8"?>
<xltc:personList xmlns:xltc="http://schemas.microsoft.com/office/spreadsheetml/2018/threadedcomments">
  <xltc:person displayName="OpenAI" id="{B20A5E8F-1F61-818A-517B-C7D0A5CE4CCA}"/>
</xltc:personList>
</file>

<file path=xl/tables/table1.xml><?xml version="1.0" encoding="utf-8"?>
<x:table xmlns:x="http://schemas.openxmlformats.org/spreadsheetml/2006/main" id="1" name="T_README" displayName="T_README" ref="A4:C17" headerRowCount="1">
  <x:autoFilter ref="A4:C17"/>
  <x:tableColumns count="3">
    <x:tableColumn id="1" name="Section"/>
    <x:tableColumn id="2" name="Detail"/>
    <x:tableColumn id="3" name="Link / Formula"/>
  </x:tableColumns>
  <x:tableStyleInfo name="TableStyleMedium2" showRowStripes="1"/>
</x:table>
</file>

<file path=xl/tables/table2.xml><?xml version="1.0" encoding="utf-8"?>
<x:table xmlns:x="http://schemas.openxmlformats.org/spreadsheetml/2006/main" id="2" name="T_Entity_Profile" displayName="T_Entity_Profile" ref="A4:X5" headerRowCount="1">
  <x:autoFilter ref="A4:X5"/>
  <x:tableColumns count="24">
    <x:tableColumn id="1" name="Engagement_ID"/>
    <x:tableColumn id="2" name="Client_Name"/>
    <x:tableColumn id="3" name="Client_Code"/>
    <x:tableColumn id="4" name="Registration_No"/>
    <x:tableColumn id="5" name="Entity_Type"/>
    <x:tableColumn id="6" name="Industry_Type"/>
    <x:tableColumn id="7" name="Financial_Year_Start"/>
    <x:tableColumn id="8" name="Financial_Year_End"/>
    <x:tableColumn id="9" name="Reporting_Framework"/>
    <x:tableColumn id="10" name="Audit_Type"/>
    <x:tableColumn id="11" name="Functional_Currency"/>
    <x:tableColumn id="12" name="Presentation_Currency"/>
    <x:tableColumn id="13" name="Materiality_Amount"/>
    <x:tableColumn id="14" name="Performance_Materiality"/>
    <x:tableColumn id="15" name="Triviality_Threshold"/>
    <x:tableColumn id="16" name="Risk_Level_Overall"/>
    <x:tableColumn id="17" name="Sampling_Method"/>
    <x:tableColumn id="18" name="Prepared_By"/>
    <x:tableColumn id="19" name="Reviewed_By"/>
    <x:tableColumn id="20" name="Approved_By"/>
    <x:tableColumn id="21" name="Engagement_Status"/>
    <x:tableColumn id="22" name="Version_No"/>
    <x:tableColumn id="23" name="Created_Timestamp"/>
    <x:tableColumn id="24" name="Last_Updated_Timestamp"/>
  </x:tableColumns>
  <x:tableStyleInfo name="TableStyleMedium2" showRowStripes="1"/>
</x:table>
</file>

<file path=xl/tables/table3.xml><?xml version="1.0" encoding="utf-8"?>
<x:table xmlns:x="http://schemas.openxmlformats.org/spreadsheetml/2006/main" id="3" name="T_COA_Master" displayName="T_COA_Master" ref="A4:AJ25" headerRowCount="1">
  <x:autoFilter ref="A4:AJ25"/>
  <x:tableColumns count="36">
    <x:tableColumn id="1" name="Account_Code"/>
    <x:tableColumn id="2" name="Parent_Code"/>
    <x:tableColumn id="3" name="Account_Name"/>
    <x:tableColumn id="4" name="FS_Head"/>
    <x:tableColumn id="5" name="FS_Sub_Head"/>
    <x:tableColumn id="6" name="Account_Type"/>
    <x:tableColumn id="7" name="Normal_Balance"/>
    <x:tableColumn id="8" name="Industry_Tag"/>
    <x:tableColumn id="9" name="Entity_Type_Tag"/>
    <x:tableColumn id="10" name="IFRS_Reference"/>
    <x:tableColumn id="11" name="Tax_Treatment"/>
    <x:tableColumn id="12" name="Is_Control_Account"/>
    <x:tableColumn id="13" name="Is_Sub_Ledger"/>
    <x:tableColumn id="14" name="Opening_Balance"/>
    <x:tableColumn id="15" name="Debit_Total"/>
    <x:tableColumn id="16" name="Credit_Total"/>
    <x:tableColumn id="17" name="Closing_Balance"/>
    <x:tableColumn id="18" name="Prior_Year_Balance"/>
    <x:tableColumn id="19" name="Variance"/>
    <x:tableColumn id="20" name="Materiality_Tag"/>
    <x:tableColumn id="21" name="Risk_Tag"/>
    <x:tableColumn id="22" name="Assertion_Tag"/>
    <x:tableColumn id="23" name="Related_Party_Flag"/>
    <x:tableColumn id="24" name="Cash_Flow_Tag"/>
    <x:tableColumn id="25" name="Mapping_GL_Code"/>
    <x:tableColumn id="26" name="Mapping_FS_Line"/>
    <x:tableColumn id="27" name="Working_Paper_Code"/>
    <x:tableColumn id="28" name="Reconciliation_Flag"/>
    <x:tableColumn id="29" name="Data_Source"/>
    <x:tableColumn id="30" name="Confidence_Score"/>
    <x:tableColumn id="31" name="Exception_Flag"/>
    <x:tableColumn id="32" name="Notes"/>
    <x:tableColumn id="33" name="Prepared_By"/>
    <x:tableColumn id="34" name="Reviewed_By"/>
    <x:tableColumn id="35" name="Approved_By"/>
    <x:tableColumn id="36" name="Timestamp"/>
  </x:tableColumns>
  <x:tableStyleInfo name="TableStyleMedium2" showRowStripes="1"/>
</x:table>
</file>

<file path=xl/tables/table4.xml><?xml version="1.0" encoding="utf-8"?>
<x:table xmlns:x="http://schemas.openxmlformats.org/spreadsheetml/2006/main" id="4" name="T_FS_Extraction_Stagin" displayName="T_FS_Extraction_Stagin" ref="A4:R7" headerRowCount="1">
  <x:autoFilter ref="A4:R7"/>
  <x:tableColumns count="18">
    <x:tableColumn id="1" name="Extraction_ID"/>
    <x:tableColumn id="2" name="Engagement_ID"/>
    <x:tableColumn id="3" name="Source_File_Name"/>
    <x:tableColumn id="4" name="Source_File_Type"/>
    <x:tableColumn id="5" name="Page_No"/>
    <x:tableColumn id="6" name="Statement_Type"/>
    <x:tableColumn id="7" name="Section_Name"/>
    <x:tableColumn id="8" name="Line_Item_Text"/>
    <x:tableColumn id="9" name="Amount_Current"/>
    <x:tableColumn id="10" name="Amount_Prior"/>
    <x:tableColumn id="11" name="Currency"/>
    <x:tableColumn id="12" name="Sign_Convention"/>
    <x:tableColumn id="13" name="Extraction_Method"/>
    <x:tableColumn id="14" name="Confidence_Score"/>
    <x:tableColumn id="15" name="Normalized_Text"/>
    <x:tableColumn id="16" name="Capture_Timestamp"/>
    <x:tableColumn id="17" name="Exception_Flag"/>
    <x:tableColumn id="1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T_FS_Mapping" displayName="T_FS_Mapping" ref="A4:P8" headerRowCount="1">
  <x:autoFilter ref="A4:P8"/>
  <x:tableColumns count="16">
    <x:tableColumn id="1" name="Mapping_ID"/>
    <x:tableColumn id="2" name="Extraction_ID"/>
    <x:tableColumn id="3" name="Engagement_ID"/>
    <x:tableColumn id="4" name="Statement_Type"/>
    <x:tableColumn id="5" name="FS_Line_Item"/>
    <x:tableColumn id="6" name="FS_Note_No"/>
    <x:tableColumn id="7" name="Current_Amount"/>
    <x:tableColumn id="8" name="Prior_Amount"/>
    <x:tableColumn id="9" name="Account_Code"/>
    <x:tableColumn id="10" name="Account_Name"/>
    <x:tableColumn id="11" name="Mapping_FS_Line"/>
    <x:tableColumn id="12" name="Mapping_Method"/>
    <x:tableColumn id="13" name="Mapping_Confidence"/>
    <x:tableColumn id="14" name="Reconciliation_Flag"/>
    <x:tableColumn id="15" name="Exception_Flag"/>
    <x:tableColumn id="16" name="Reviewer_Note"/>
  </x:tableColumns>
  <x:tableStyleInfo name="TableStyleMedium2" showRowStripes="1"/>
</x:table>
</file>

<file path=xl/tables/table6.xml><?xml version="1.0" encoding="utf-8"?>
<x:table xmlns:x="http://schemas.openxmlformats.org/spreadsheetml/2006/main" id="6" name="T_Journal_Import" displayName="T_Journal_Import" ref="A4:Z14" headerRowCount="1">
  <x:autoFilter ref="A4:Z14"/>
  <x:tableColumns count="26">
    <x:tableColumn id="1" name="Journal_ID"/>
    <x:tableColumn id="2" name="Engagement_ID"/>
    <x:tableColumn id="3" name="Entry_No"/>
    <x:tableColumn id="4" name="Entry_Date"/>
    <x:tableColumn id="5" name="Period"/>
    <x:tableColumn id="6" name="Voucher_Type"/>
    <x:tableColumn id="7" name="Document_No"/>
    <x:tableColumn id="8" name="Narration"/>
    <x:tableColumn id="9" name="Account_Code"/>
    <x:tableColumn id="10" name="Account_Name"/>
    <x:tableColumn id="11" name="Cost_Center"/>
    <x:tableColumn id="12" name="Department"/>
    <x:tableColumn id="13" name="Project_Code"/>
    <x:tableColumn id="14" name="Party_Code"/>
    <x:tableColumn id="15" name="Debit_Amount"/>
    <x:tableColumn id="16" name="Credit_Amount"/>
    <x:tableColumn id="17" name="Currency"/>
    <x:tableColumn id="18" name="Exchange_Rate"/>
    <x:tableColumn id="19" name="Base_Debit"/>
    <x:tableColumn id="20" name="Base_Credit"/>
    <x:tableColumn id="21" name="Source_System"/>
    <x:tableColumn id="22" name="Source_File_Name"/>
    <x:tableColumn id="23" name="Posted_Flag"/>
    <x:tableColumn id="24" name="Data_Source"/>
    <x:tableColumn id="25" name="Confidence_Score"/>
    <x:tableColumn id="26" name="Exception_Flag"/>
  </x:tableColumns>
  <x:tableStyleInfo name="TableStyleMedium2" showRowStripes="1"/>
</x:table>
</file>

<file path=xl/tables/table7.xml><?xml version="1.0" encoding="utf-8"?>
<x:table xmlns:x="http://schemas.openxmlformats.org/spreadsheetml/2006/main" id="7" name="T_Audit_Engine_Master" displayName="T_Audit_Engine_Master" ref="A4:AD5" headerRowCount="1">
  <x:autoFilter ref="A4:AD5"/>
  <x:tableColumns count="30">
    <x:tableColumn id="1" name="Record_ID"/>
    <x:tableColumn id="2" name="Engagement_ID"/>
    <x:tableColumn id="3" name="Client_Name"/>
    <x:tableColumn id="4" name="Entity_Type"/>
    <x:tableColumn id="5" name="Industry_Type"/>
    <x:tableColumn id="6" name="Financial_Year"/>
    <x:tableColumn id="7" name="Reporting_Framework"/>
    <x:tableColumn id="8" name="Audit_Type"/>
    <x:tableColumn id="9" name="Engagement_Status"/>
    <x:tableColumn id="10" name="Materiality_Amount"/>
    <x:tableColumn id="11" name="Performance_Materiality"/>
    <x:tableColumn id="12" name="Triviality_Threshold"/>
    <x:tableColumn id="13" name="Risk_Level_Overall"/>
    <x:tableColumn id="14" name="Going_Concern_Flag"/>
    <x:tableColumn id="15" name="Fraud_Risk_Flag"/>
    <x:tableColumn id="16" name="Related_Party_Flag"/>
    <x:tableColumn id="17" name="Laws_Regulation_Flag"/>
    <x:tableColumn id="18" name="Component_Audit_Flag"/>
    <x:tableColumn id="19" name="Group_Audit_Flag"/>
    <x:tableColumn id="20" name="IT_System_Type"/>
    <x:tableColumn id="21" name="Internal_Audit_Flag"/>
    <x:tableColumn id="22" name="Use_of_Expert_Flag"/>
    <x:tableColumn id="23" name="Sampling_Method"/>
    <x:tableColumn id="24" name="Data_Source"/>
    <x:tableColumn id="25" name="Confidence_Level"/>
    <x:tableColumn id="26" name="Exception_Flag"/>
    <x:tableColumn id="27" name="Prepared_By"/>
    <x:tableColumn id="28" name="Reviewed_By"/>
    <x:tableColumn id="29" name="Approved_By"/>
    <x:tableColumn id="30" name="Timestamp"/>
  </x:tableColumns>
  <x:tableStyleInfo name="TableStyleMedium2" showRowStripes="1"/>
</x:table>
</file>

<file path=xl/tables/table8.xml><?xml version="1.0" encoding="utf-8"?>
<x:table xmlns:x="http://schemas.openxmlformats.org/spreadsheetml/2006/main" id="8" name="T_WP_Trigger_Engine" displayName="T_WP_Trigger_Engine" ref="A4:J10" headerRowCount="1">
  <x:autoFilter ref="A4:J10"/>
  <x:tableColumns count="10">
    <x:tableColumn id="1" name="WP_Code"/>
    <x:tableColumn id="2" name="WP_Name"/>
    <x:tableColumn id="3" name="Category"/>
    <x:tableColumn id="4" name="Trigger_Condition"/>
    <x:tableColumn id="5" name="ISA_Reference"/>
    <x:tableColumn id="6" name="Output_Format"/>
    <x:tableColumn id="7" name="Mandatory_Flag"/>
    <x:tableColumn id="8" name="Owner_Role"/>
    <x:tableColumn id="9" name="Status"/>
    <x:tableColumn id="10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T_Assertion_Linkage" displayName="T_Assertion_Linkage" ref="A4:E11" headerRowCount="1">
  <x:autoFilter ref="A4:E11"/>
  <x:tableColumns count="5">
    <x:tableColumn id="1" name="Account_Type_or_FS_Line"/>
    <x:tableColumn id="2" name="Assertion"/>
    <x:tableColumn id="3" name="WP_Link"/>
    <x:tableColumn id="4" name="Primary_Test"/>
    <x:tableColumn id="5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T_Sampling_Rules" displayName="T_Sampling_Rules" ref="A4:G8" headerRowCount="1">
  <x:autoFilter ref="A4:G8"/>
  <x:tableColumns count="7">
    <x:tableColumn id="1" name="Risk_Level"/>
    <x:tableColumn id="2" name="Materiality_Band"/>
    <x:tableColumn id="3" name="Sample_Size_Min"/>
    <x:tableColumn id="4" name="Sample_Size_Max"/>
    <x:tableColumn id="5" name="Coverage_Target"/>
    <x:tableColumn id="6" name="Sampling_Method_Default"/>
    <x:tableColumn id="7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T_Analytics_Engine" displayName="T_Analytics_Engine" ref="A4:F9" headerRowCount="1">
  <x:autoFilter ref="A4:F9"/>
  <x:tableColumns count="6">
    <x:tableColumn id="1" name="Ratio_or_Test"/>
    <x:tableColumn id="2" name="Formula_Text"/>
    <x:tableColumn id="3" name="Threshold"/>
    <x:tableColumn id="4" name="WP_Trigger"/>
    <x:tableColumn id="5" name="Owner_Role"/>
    <x:tableColumn id="6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T_Control_Matrix" displayName="T_Control_Matrix" ref="A4:K8" headerRowCount="1">
  <x:autoFilter ref="A4:K8"/>
  <x:tableColumns count="11">
    <x:tableColumn id="1" name="Process"/>
    <x:tableColumn id="2" name="Control_ID"/>
    <x:tableColumn id="3" name="Control_Description"/>
    <x:tableColumn id="4" name="Frequency"/>
    <x:tableColumn id="5" name="Control_Owner"/>
    <x:tableColumn id="6" name="Test_Type"/>
    <x:tableColumn id="7" name="Population_Source"/>
    <x:tableColumn id="8" name="Key_Control_Flag"/>
    <x:tableColumn id="9" name="Design_Effective"/>
    <x:tableColumn id="10" name="Operating_Effective"/>
    <x:tableColumn id="11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T_Evidence_Log" displayName="T_Evidence_Log" ref="A4:L6" headerRowCount="1">
  <x:autoFilter ref="A4:L6"/>
  <x:tableColumns count="12">
    <x:tableColumn id="1" name="Evidence_ID"/>
    <x:tableColumn id="2" name="Engagement_ID"/>
    <x:tableColumn id="3" name="WP_Code"/>
    <x:tableColumn id="4" name="Document_Type"/>
    <x:tableColumn id="5" name="Source"/>
    <x:tableColumn id="6" name="Document_Reference"/>
    <x:tableColumn id="7" name="Received_Date"/>
    <x:tableColumn id="8" name="Verified_Flag"/>
    <x:tableColumn id="9" name="Verification_Result"/>
    <x:tableColumn id="10" name="Reviewer_Comment"/>
    <x:tableColumn id="11" name="Prepared_By"/>
    <x:tableColumn id="12" name="Reviewed_By"/>
  </x:tableColumns>
  <x:tableStyleInfo name="TableStyleMedium2" showRowStripes="1"/>
</x:table>
</file>

<file path=xl/tables/table14.xml><?xml version="1.0" encoding="utf-8"?>
<x:table xmlns:x="http://schemas.openxmlformats.org/spreadsheetml/2006/main" id="14" name="T_WP_Index" displayName="T_WP_Index" ref="A4:J9" headerRowCount="1">
  <x:autoFilter ref="A4:J9"/>
  <x:tableColumns count="10">
    <x:tableColumn id="1" name="WP_Code"/>
    <x:tableColumn id="2" name="WP_Name"/>
    <x:tableColumn id="3" name="Category"/>
    <x:tableColumn id="4" name="Required_Flag"/>
    <x:tableColumn id="5" name="Trigger_Source"/>
    <x:tableColumn id="6" name="Status"/>
    <x:tableColumn id="7" name="Prepared_By"/>
    <x:tableColumn id="8" name="Reviewed_By"/>
    <x:tableColumn id="9" name="Conclusion"/>
    <x:tableColumn id="10" name="Evidence_Count"/>
  </x:tableColumns>
  <x:tableStyleInfo name="TableStyleMedium2" showRowStripes="1"/>
</x:table>
</file>

<file path=xl/tables/table15.xml><?xml version="1.0" encoding="utf-8"?>
<x:table xmlns:x="http://schemas.openxmlformats.org/spreadsheetml/2006/main" id="15" name="T_Review_Signoff" displayName="T_Review_Signoff" ref="A4:J5" headerRowCount="1">
  <x:autoFilter ref="A4:J5"/>
  <x:tableColumns count="10">
    <x:tableColumn id="1" name="Log_ID"/>
    <x:tableColumn id="2" name="Engagement_ID"/>
    <x:tableColumn id="3" name="Stage"/>
    <x:tableColumn id="4" name="Reviewer_Level"/>
    <x:tableColumn id="5" name="Reviewed_Item"/>
    <x:tableColumn id="6" name="Review_Date"/>
    <x:tableColumn id="7" name="Review_Result"/>
    <x:tableColumn id="8" name="Open_Exceptions"/>
    <x:tableColumn id="9" name="Reviewer_Comment"/>
    <x:tableColumn id="10" name="Signed_Off_By"/>
  </x:tableColumns>
  <x:tableStyleInfo name="TableStyleMedium2" showRowStripes="1"/>
</x:table>
</file>

<file path=xl/tables/table16.xml><?xml version="1.0" encoding="utf-8"?>
<x:table xmlns:x="http://schemas.openxmlformats.org/spreadsheetml/2006/main" id="16" name="T_TB_Generated" displayName="T_TB_Generated" ref="A5:N125" headerRowCount="1">
  <x:autoFilter ref="A5:N125"/>
  <x:tableColumns count="14">
    <x:tableColumn id="1" name="Account_Code"/>
    <x:tableColumn id="2" name="Account_Name"/>
    <x:tableColumn id="3" name="FS_Head"/>
    <x:tableColumn id="4" name="Account_Type"/>
    <x:tableColumn id="5" name="Normal_Balance"/>
    <x:tableColumn id="6" name="Opening_Balance"/>
    <x:tableColumn id="7" name="Journal_Debit"/>
    <x:tableColumn id="8" name="Journal_Credit"/>
    <x:tableColumn id="9" name="Closing_Balance"/>
    <x:tableColumn id="10" name="Closing_Debit"/>
    <x:tableColumn id="11" name="Closing_Credit"/>
    <x:tableColumn id="12" name="Prior_Year_Balance"/>
    <x:tableColumn id="13" name="Variance"/>
    <x:tableColumn id="14" name="Balance_Check"/>
  </x:tableColumns>
  <x:tableStyleInfo name="TableStyleMedium2" showRowStripes="1"/>
</x:table>
</file>

<file path=xl/tables/table17.xml><?xml version="1.0" encoding="utf-8"?>
<x:table xmlns:x="http://schemas.openxmlformats.org/spreadsheetml/2006/main" id="17" name="T_GL_Generated" displayName="T_GL_Generated" ref="A4:O304" headerRowCount="1">
  <x:autoFilter ref="A4:O304"/>
  <x:tableColumns count="15">
    <x:tableColumn id="1" name="Journal_ID"/>
    <x:tableColumn id="2" name="Engagement_ID"/>
    <x:tableColumn id="3" name="Account_Code"/>
    <x:tableColumn id="4" name="Account_Name"/>
    <x:tableColumn id="5" name="Entry_Date"/>
    <x:tableColumn id="6" name="Voucher_Type"/>
    <x:tableColumn id="7" name="Document_No"/>
    <x:tableColumn id="8" name="Narration"/>
    <x:tableColumn id="9" name="Debit_Base"/>
    <x:tableColumn id="10" name="Credit_Base"/>
    <x:tableColumn id="11" name="Running_Balance"/>
    <x:tableColumn id="12" name="Balance_Side"/>
    <x:tableColumn id="13" name="Source_File_Name"/>
    <x:tableColumn id="14" name="Posted_Flag"/>
    <x:tableColumn id="15" name="Exception_Flag"/>
  </x:tableColumns>
  <x:tableStyleInfo name="TableStyleMedium2" showRowStripes="1"/>
</x:table>
</file>

<file path=xl/tables/table18.xml><?xml version="1.0" encoding="utf-8"?>
<x:table xmlns:x="http://schemas.openxmlformats.org/spreadsheetml/2006/main" id="18" name="T_Recon_Engine" displayName="T_Recon_Engine" ref="A4:I8" headerRowCount="1">
  <x:autoFilter ref="A4:I8"/>
  <x:tableColumns count="9">
    <x:tableColumn id="1" name="Check_ID"/>
    <x:tableColumn id="2" name="Check_Name"/>
    <x:tableColumn id="3" name="Source_1_Value"/>
    <x:tableColumn id="4" name="Source_2_Value"/>
    <x:tableColumn id="5" name="Difference_or_Result"/>
    <x:tableColumn id="6" name="Status"/>
    <x:tableColumn id="7" name="Exception_Flag"/>
    <x:tableColumn id="8" name="Owner"/>
    <x:tableColumn id="9" name="Notes"/>
  </x:tableColumns>
  <x:tableStyleInfo name="TableStyleMedium2" showRowStripes="1"/>
</x:table>
</file>

<file path=xl/tables/table19.xml><?xml version="1.0" encoding="utf-8"?>
<x:table xmlns:x="http://schemas.openxmlformats.org/spreadsheetml/2006/main" id="19" name="T_Data_Dictionary" displayName="T_Data_Dictionary" ref="A4:G263" headerRowCount="1">
  <x:autoFilter ref="A4:G263"/>
  <x:tableColumns count="7">
    <x:tableColumn id="1" name="Sheet_Name"/>
    <x:tableColumn id="2" name="Field_Name"/>
    <x:tableColumn id="3" name="Data_Type"/>
    <x:tableColumn id="4" name="Mandatory"/>
    <x:tableColumn id="5" name="Description"/>
    <x:tableColumn id="6" name="Example_or_Notes"/>
    <x:tableColumn id="7" name="Backend_Tabl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62b0dbb3f1224fb3" /><Relationship Type="http://schemas.openxmlformats.org/officeDocument/2006/relationships/vmlDrawing" Target="/xl/drawings/vmldrawing.vml" Id="R2ef77795893043d0" /><Relationship Type="http://schemas.openxmlformats.org/officeDocument/2006/relationships/table" Target="/xl/tables/table1.xml" Id="R9a0b2463474947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8dbdf3b20441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7ddb7e241449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bf0f98563a4f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2ff4d5b91344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7e608ab8dd4e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b72dec9c894b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880de61ba844d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578b5b146c144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5e4184e1a814ef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b70af2214c8443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b179b5fd74d848e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f441d65a98e5459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5f3c3b5bf05c463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b5cbfafe689b4e4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de8468205549440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7c3ba4d60890483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8e97182afd6a42f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12007af311de4ebf" /></Relationships>
</file>

<file path=xl/worksheets/sheet1.xml><?xml version="1.0" encoding="utf-8"?>
<x:worksheet xmlns:x="http://schemas.openxmlformats.org/spreadsheetml/2006/main">
  <x:sheetPr>
    <x:tabColor rgb="00A5A5A5"/>
  </x:sheetPr>
  <x:sheetViews>
    <x:sheetView showGridLines="0" workbookViewId="0"/>
  </x:sheetViews>
  <x:sheetFormatPr baseColWidth="8" defaultRowHeight="15"/>
  <x:sheetData>
    <x:row r="1" ht="24" customHeight="1">
      <x:c r="A1" s="1" t="inlineStr">
        <x:is>
          <x:t xml:space="preserve">Reference Lists</x:t>
        </x:is>
      </x:c>
    </x:row>
    <x:row r="2" ht="36" customHeight="1">
      <x:c r="A2" s="2" t="inlineStr">
        <x:is>
          <x:t xml:space="preserve">Hidden sheet for dropdown validations and lookup values.</x:t>
        </x:is>
      </x:c>
    </x:row>
    <x:row r="4" ht="20" customHeight="1">
      <x:c r="A4" s="3" t="inlineStr">
        <x:is>
          <x:t xml:space="preserve">Entity_Type</x:t>
        </x:is>
      </x:c>
    </x:row>
    <x:row r="5" ht="20" customHeight="1">
      <x:c r="A5" t="inlineStr">
        <x:is>
          <x:t xml:space="preserve">Private Limited</x:t>
        </x:is>
      </x:c>
    </x:row>
    <x:row r="6" ht="20" customHeight="1">
      <x:c r="A6" t="inlineStr">
        <x:is>
          <x:t xml:space="preserve">Public Unlisted</x:t>
        </x:is>
      </x:c>
    </x:row>
    <x:row r="7" ht="20" customHeight="1">
      <x:c r="A7" t="inlineStr">
        <x:is>
          <x:t xml:space="preserve">Listed</x:t>
        </x:is>
      </x:c>
    </x:row>
    <x:row r="8" ht="20" customHeight="1">
      <x:c r="A8" t="inlineStr">
        <x:is>
          <x:t xml:space="preserve">Partnership</x:t>
        </x:is>
      </x:c>
    </x:row>
    <x:row r="9" ht="20" customHeight="1">
      <x:c r="A9" t="inlineStr">
        <x:is>
          <x:t xml:space="preserve">Sole Proprietorship</x:t>
        </x:is>
      </x:c>
    </x:row>
    <x:row r="10" ht="20" customHeight="1">
      <x:c r="A10" t="inlineStr">
        <x:is>
          <x:t xml:space="preserve">NGO / NPO / Section 42</x:t>
        </x:is>
      </x:c>
    </x:row>
    <x:row r="11" ht="20" customHeight="1">
      <x:c r="A11" t="inlineStr">
        <x:is>
          <x:t xml:space="preserve">Bank / DFIs</x:t>
        </x:is>
      </x:c>
    </x:row>
    <x:row r="12" ht="20" customHeight="1">
      <x:c r="A12" t="inlineStr">
        <x:is>
          <x:t xml:space="preserve">Insurance</x:t>
        </x:is>
      </x:c>
    </x:row>
    <x:row r="13" ht="20" customHeight="1">
      <x:c r="A13" t="inlineStr">
        <x:is>
          <x:t xml:space="preserve">Public Sector</x:t>
        </x:is>
      </x:c>
    </x:row>
    <x:row r="14" ht="20" customHeight="1">
      <x:c r="A14" t="inlineStr">
        <x:is>
          <x:t xml:space="preserve">Project / Grant</x:t>
        </x:is>
      </x:c>
    </x:row>
    <x:row r="15" ht="20" customHeight="1"/>
    <x:row r="16" ht="20" customHeight="1">
      <x:c r="A16" s="3" t="inlineStr">
        <x:is>
          <x:t xml:space="preserve">Industry_Type</x:t>
        </x:is>
      </x:c>
    </x:row>
    <x:row r="17" ht="20" customHeight="1">
      <x:c r="A17" t="inlineStr">
        <x:is>
          <x:t xml:space="preserve">Manufacturing</x:t>
        </x:is>
      </x:c>
    </x:row>
    <x:row r="18" ht="20" customHeight="1">
      <x:c r="A18" t="inlineStr">
        <x:is>
          <x:t xml:space="preserve">Trading</x:t>
        </x:is>
      </x:c>
    </x:row>
    <x:row r="19" ht="20" customHeight="1">
      <x:c r="A19" t="inlineStr">
        <x:is>
          <x:t xml:space="preserve">Retail</x:t>
        </x:is>
      </x:c>
    </x:row>
    <x:row r="20" ht="20" customHeight="1">
      <x:c r="A20" t="inlineStr">
        <x:is>
          <x:t xml:space="preserve">Services</x:t>
        </x:is>
      </x:c>
    </x:row>
    <x:row r="21">
      <x:c r="A21" t="inlineStr">
        <x:is>
          <x:t xml:space="preserve">Construction</x:t>
        </x:is>
      </x:c>
    </x:row>
    <x:row r="22">
      <x:c r="A22" t="inlineStr">
        <x:is>
          <x:t xml:space="preserve">Real Estate</x:t>
        </x:is>
      </x:c>
    </x:row>
    <x:row r="23">
      <x:c r="A23" t="inlineStr">
        <x:is>
          <x:t xml:space="preserve">Financial Services</x:t>
        </x:is>
      </x:c>
    </x:row>
    <x:row r="24">
      <x:c r="A24" t="inlineStr">
        <x:is>
          <x:t xml:space="preserve">Banking</x:t>
        </x:is>
      </x:c>
    </x:row>
    <x:row r="25">
      <x:c r="A25" t="inlineStr">
        <x:is>
          <x:t xml:space="preserve">Insurance</x:t>
        </x:is>
      </x:c>
    </x:row>
    <x:row r="26">
      <x:c r="A26" t="inlineStr">
        <x:is>
          <x:t xml:space="preserve">Education</x:t>
        </x:is>
      </x:c>
    </x:row>
    <x:row r="27">
      <x:c r="A27" t="inlineStr">
        <x:is>
          <x:t xml:space="preserve">Healthcare</x:t>
        </x:is>
      </x:c>
    </x:row>
    <x:row r="28">
      <x:c r="A28" t="inlineStr">
        <x:is>
          <x:t xml:space="preserve">Technology</x:t>
        </x:is>
      </x:c>
    </x:row>
    <x:row r="29">
      <x:c r="A29" t="inlineStr">
        <x:is>
          <x:t xml:space="preserve">NGO / NPO</x:t>
        </x:is>
      </x:c>
    </x:row>
    <x:row r="30">
      <x:c r="A30" t="inlineStr">
        <x:is>
          <x:t xml:space="preserve">Public Sector</x:t>
        </x:is>
      </x:c>
    </x:row>
    <x:row r="31">
      <x:c r="A31" t="inlineStr">
        <x:is>
          <x:t xml:space="preserve">Project-Based</x:t>
        </x:is>
      </x:c>
    </x:row>
    <x:row r="33">
      <x:c r="A33" s="3" t="inlineStr">
        <x:is>
          <x:t xml:space="preserve">Reporting_Framework</x:t>
        </x:is>
      </x:c>
    </x:row>
    <x:row r="34">
      <x:c r="A34" t="inlineStr">
        <x:is>
          <x:t xml:space="preserve">IFRS</x:t>
        </x:is>
      </x:c>
    </x:row>
    <x:row r="35">
      <x:c r="A35" t="inlineStr">
        <x:is>
          <x:t xml:space="preserve">IFRS for SMEs</x:t>
        </x:is>
      </x:c>
    </x:row>
    <x:row r="36">
      <x:c r="A36" t="inlineStr">
        <x:is>
          <x:t xml:space="preserve">Local GAAP</x:t>
        </x:is>
      </x:c>
    </x:row>
    <x:row r="37">
      <x:c r="A37" t="inlineStr">
        <x:is>
          <x:t xml:space="preserve">IPSAS</x:t>
        </x:is>
      </x:c>
    </x:row>
    <x:row r="38">
      <x:c r="A38" t="inlineStr">
        <x:is>
          <x:t xml:space="preserve">Cash Basis</x:t>
        </x:is>
      </x:c>
    </x:row>
    <x:row r="40">
      <x:c r="A40" s="3" t="inlineStr">
        <x:is>
          <x:t xml:space="preserve">Audit_Type</x:t>
        </x:is>
      </x:c>
    </x:row>
    <x:row r="41">
      <x:c r="A41" t="inlineStr">
        <x:is>
          <x:t xml:space="preserve">Statutory Audit</x:t>
        </x:is>
      </x:c>
    </x:row>
    <x:row r="42">
      <x:c r="A42" t="inlineStr">
        <x:is>
          <x:t xml:space="preserve">Internal Audit</x:t>
        </x:is>
      </x:c>
    </x:row>
    <x:row r="43">
      <x:c r="A43" t="inlineStr">
        <x:is>
          <x:t xml:space="preserve">Review Engagement</x:t>
        </x:is>
      </x:c>
    </x:row>
    <x:row r="44">
      <x:c r="A44" t="inlineStr">
        <x:is>
          <x:t xml:space="preserve">Agreed-Upon Procedures</x:t>
        </x:is>
      </x:c>
    </x:row>
    <x:row r="45">
      <x:c r="A45" t="inlineStr">
        <x:is>
          <x:t xml:space="preserve">Tax Audit</x:t>
        </x:is>
      </x:c>
    </x:row>
    <x:row r="46">
      <x:c r="A46" t="inlineStr">
        <x:is>
          <x:t xml:space="preserve">Special Purpose Audit</x:t>
        </x:is>
      </x:c>
    </x:row>
    <x:row r="48">
      <x:c r="A48" s="3" t="inlineStr">
        <x:is>
          <x:t xml:space="preserve">Engagement_Status</x:t>
        </x:is>
      </x:c>
    </x:row>
    <x:row r="49">
      <x:c r="A49" t="inlineStr">
        <x:is>
          <x:t xml:space="preserve">Planning</x:t>
        </x:is>
      </x:c>
    </x:row>
    <x:row r="50">
      <x:c r="A50" t="inlineStr">
        <x:is>
          <x:t xml:space="preserve">Fieldwork</x:t>
        </x:is>
      </x:c>
    </x:row>
    <x:row r="51">
      <x:c r="A51" t="inlineStr">
        <x:is>
          <x:t xml:space="preserve">Review</x:t>
        </x:is>
      </x:c>
    </x:row>
    <x:row r="52">
      <x:c r="A52" t="inlineStr">
        <x:is>
          <x:t xml:space="preserve">Cleared for Partner Review</x:t>
        </x:is>
      </x:c>
    </x:row>
    <x:row r="53">
      <x:c r="A53" t="inlineStr">
        <x:is>
          <x:t xml:space="preserve">Completed</x:t>
        </x:is>
      </x:c>
    </x:row>
    <x:row r="54">
      <x:c r="A54" t="inlineStr">
        <x:is>
          <x:t xml:space="preserve">Archived</x:t>
        </x:is>
      </x:c>
    </x:row>
    <x:row r="56">
      <x:c r="A56" s="3" t="inlineStr">
        <x:is>
          <x:t xml:space="preserve">Account_Type</x:t>
        </x:is>
      </x:c>
    </x:row>
    <x:row r="57">
      <x:c r="A57" t="inlineStr">
        <x:is>
          <x:t xml:space="preserve">Asset</x:t>
        </x:is>
      </x:c>
    </x:row>
    <x:row r="58">
      <x:c r="A58" t="inlineStr">
        <x:is>
          <x:t xml:space="preserve">Liability</x:t>
        </x:is>
      </x:c>
    </x:row>
    <x:row r="59">
      <x:c r="A59" t="inlineStr">
        <x:is>
          <x:t xml:space="preserve">Equity</x:t>
        </x:is>
      </x:c>
    </x:row>
    <x:row r="60">
      <x:c r="A60" t="inlineStr">
        <x:is>
          <x:t xml:space="preserve">Income</x:t>
        </x:is>
      </x:c>
    </x:row>
    <x:row r="61">
      <x:c r="A61" t="inlineStr">
        <x:is>
          <x:t xml:space="preserve">Expense</x:t>
        </x:is>
      </x:c>
    </x:row>
    <x:row r="62">
      <x:c r="A62" t="inlineStr">
        <x:is>
          <x:t xml:space="preserve">Memorandum</x:t>
        </x:is>
      </x:c>
    </x:row>
    <x:row r="64">
      <x:c r="A64" s="3" t="inlineStr">
        <x:is>
          <x:t xml:space="preserve">Normal_Balance</x:t>
        </x:is>
      </x:c>
    </x:row>
    <x:row r="65">
      <x:c r="A65" t="inlineStr">
        <x:is>
          <x:t xml:space="preserve">Debit</x:t>
        </x:is>
      </x:c>
    </x:row>
    <x:row r="66">
      <x:c r="A66" t="inlineStr">
        <x:is>
          <x:t xml:space="preserve">Credit</x:t>
        </x:is>
      </x:c>
    </x:row>
    <x:row r="68">
      <x:c r="A68" s="3" t="inlineStr">
        <x:is>
          <x:t xml:space="preserve">FS_Head</x:t>
        </x:is>
      </x:c>
    </x:row>
    <x:row r="69">
      <x:c r="A69" t="inlineStr">
        <x:is>
          <x:t xml:space="preserve">Non-Current Assets</x:t>
        </x:is>
      </x:c>
    </x:row>
    <x:row r="70">
      <x:c r="A70" t="inlineStr">
        <x:is>
          <x:t xml:space="preserve">Current Assets</x:t>
        </x:is>
      </x:c>
    </x:row>
    <x:row r="71">
      <x:c r="A71" t="inlineStr">
        <x:is>
          <x:t xml:space="preserve">Equity</x:t>
        </x:is>
      </x:c>
    </x:row>
    <x:row r="72">
      <x:c r="A72" t="inlineStr">
        <x:is>
          <x:t xml:space="preserve">Non-Current Liabilities</x:t>
        </x:is>
      </x:c>
    </x:row>
    <x:row r="73">
      <x:c r="A73" t="inlineStr">
        <x:is>
          <x:t xml:space="preserve">Current Liabilities</x:t>
        </x:is>
      </x:c>
    </x:row>
    <x:row r="74">
      <x:c r="A74" t="inlineStr">
        <x:is>
          <x:t xml:space="preserve">Revenue</x:t>
        </x:is>
      </x:c>
    </x:row>
    <x:row r="75">
      <x:c r="A75" t="inlineStr">
        <x:is>
          <x:t xml:space="preserve">Other Income</x:t>
        </x:is>
      </x:c>
    </x:row>
    <x:row r="76">
      <x:c r="A76" t="inlineStr">
        <x:is>
          <x:t xml:space="preserve">Cost of Sales</x:t>
        </x:is>
      </x:c>
    </x:row>
    <x:row r="77">
      <x:c r="A77" t="inlineStr">
        <x:is>
          <x:t xml:space="preserve">Administrative Expenses</x:t>
        </x:is>
      </x:c>
    </x:row>
    <x:row r="78">
      <x:c r="A78" t="inlineStr">
        <x:is>
          <x:t xml:space="preserve">Selling &amp; Distribution</x:t>
        </x:is>
      </x:c>
    </x:row>
    <x:row r="79">
      <x:c r="A79" t="inlineStr">
        <x:is>
          <x:t xml:space="preserve">Finance Costs</x:t>
        </x:is>
      </x:c>
    </x:row>
    <x:row r="80">
      <x:c r="A80" t="inlineStr">
        <x:is>
          <x:t xml:space="preserve">Other Expenses</x:t>
        </x:is>
      </x:c>
    </x:row>
    <x:row r="81">
      <x:c r="A81" t="inlineStr">
        <x:is>
          <x:t xml:space="preserve">Memo / Control</x:t>
        </x:is>
      </x:c>
    </x:row>
    <x:row r="83">
      <x:c r="A83" s="3" t="inlineStr">
        <x:is>
          <x:t xml:space="preserve">Tax_Treatment</x:t>
        </x:is>
      </x:c>
    </x:row>
    <x:row r="84">
      <x:c r="A84" t="inlineStr">
        <x:is>
          <x:t xml:space="preserve">Normal</x:t>
        </x:is>
      </x:c>
    </x:row>
    <x:row r="85">
      <x:c r="A85" t="inlineStr">
        <x:is>
          <x:t xml:space="preserve">Disallowable</x:t>
        </x:is>
      </x:c>
    </x:row>
    <x:row r="86">
      <x:c r="A86" t="inlineStr">
        <x:is>
          <x:t xml:space="preserve">Capital</x:t>
        </x:is>
      </x:c>
    </x:row>
    <x:row r="87">
      <x:c r="A87" t="inlineStr">
        <x:is>
          <x:t xml:space="preserve">Minimum Tax</x:t>
        </x:is>
      </x:c>
    </x:row>
    <x:row r="88">
      <x:c r="A88" t="inlineStr">
        <x:is>
          <x:t xml:space="preserve">Exempt</x:t>
        </x:is>
      </x:c>
    </x:row>
    <x:row r="89">
      <x:c r="A89" t="inlineStr">
        <x:is>
          <x:t xml:space="preserve">Final Tax</x:t>
        </x:is>
      </x:c>
    </x:row>
    <x:row r="90">
      <x:c r="A90" t="inlineStr">
        <x:is>
          <x:t xml:space="preserve">Input Tax</x:t>
        </x:is>
      </x:c>
    </x:row>
    <x:row r="91">
      <x:c r="A91" t="inlineStr">
        <x:is>
          <x:t xml:space="preserve">Output Tax</x:t>
        </x:is>
      </x:c>
    </x:row>
    <x:row r="92">
      <x:c r="A92" t="inlineStr">
        <x:is>
          <x:t xml:space="preserve">Withholding Tax</x:t>
        </x:is>
      </x:c>
    </x:row>
    <x:row r="93">
      <x:c r="A93" t="inlineStr">
        <x:is>
          <x:t xml:space="preserve">Deferred Tax</x:t>
        </x:is>
      </x:c>
    </x:row>
    <x:row r="95">
      <x:c r="A95" s="3" t="inlineStr">
        <x:is>
          <x:t xml:space="preserve">YesNo</x:t>
        </x:is>
      </x:c>
    </x:row>
    <x:row r="96">
      <x:c r="A96" t="inlineStr">
        <x:is>
          <x:t xml:space="preserve">Yes</x:t>
        </x:is>
      </x:c>
    </x:row>
    <x:row r="97">
      <x:c r="A97" t="inlineStr">
        <x:is>
          <x:t xml:space="preserve">No</x:t>
        </x:is>
      </x:c>
    </x:row>
    <x:row r="99">
      <x:c r="A99" s="3" t="inlineStr">
        <x:is>
          <x:t xml:space="preserve">Risk_Level</x:t>
        </x:is>
      </x:c>
    </x:row>
    <x:row r="100">
      <x:c r="A100" t="inlineStr">
        <x:is>
          <x:t xml:space="preserve">Low</x:t>
        </x:is>
      </x:c>
    </x:row>
    <x:row r="101">
      <x:c r="A101" t="inlineStr">
        <x:is>
          <x:t xml:space="preserve">Medium</x:t>
        </x:is>
      </x:c>
    </x:row>
    <x:row r="102">
      <x:c r="A102" t="inlineStr">
        <x:is>
          <x:t xml:space="preserve">High</x:t>
        </x:is>
      </x:c>
    </x:row>
    <x:row r="103">
      <x:c r="A103" t="inlineStr">
        <x:is>
          <x:t xml:space="preserve">Significant</x:t>
        </x:is>
      </x:c>
    </x:row>
    <x:row r="105">
      <x:c r="A105" s="3" t="inlineStr">
        <x:is>
          <x:t xml:space="preserve">Materiality_Tag</x:t>
        </x:is>
      </x:c>
    </x:row>
    <x:row r="106">
      <x:c r="A106" t="inlineStr">
        <x:is>
          <x:t xml:space="preserve">Low</x:t>
        </x:is>
      </x:c>
    </x:row>
    <x:row r="107">
      <x:c r="A107" t="inlineStr">
        <x:is>
          <x:t xml:space="preserve">Medium</x:t>
        </x:is>
      </x:c>
    </x:row>
    <x:row r="108">
      <x:c r="A108" t="inlineStr">
        <x:is>
          <x:t xml:space="preserve">High</x:t>
        </x:is>
      </x:c>
    </x:row>
    <x:row r="110">
      <x:c r="A110" s="3" t="inlineStr">
        <x:is>
          <x:t xml:space="preserve">Cash_Flow_Tag</x:t>
        </x:is>
      </x:c>
    </x:row>
    <x:row r="111">
      <x:c r="A111" t="inlineStr">
        <x:is>
          <x:t xml:space="preserve">Operating</x:t>
        </x:is>
      </x:c>
    </x:row>
    <x:row r="112">
      <x:c r="A112" t="inlineStr">
        <x:is>
          <x:t xml:space="preserve">Investing</x:t>
        </x:is>
      </x:c>
    </x:row>
    <x:row r="113">
      <x:c r="A113" t="inlineStr">
        <x:is>
          <x:t xml:space="preserve">Financing</x:t>
        </x:is>
      </x:c>
    </x:row>
    <x:row r="114">
      <x:c r="A114" t="inlineStr">
        <x:is>
          <x:t xml:space="preserve">Non-Cash</x:t>
        </x:is>
      </x:c>
    </x:row>
    <x:row r="115">
      <x:c r="A115" t="inlineStr">
        <x:is>
          <x:t xml:space="preserve">N/A</x:t>
        </x:is>
      </x:c>
    </x:row>
    <x:row r="117">
      <x:c r="A117" s="3" t="inlineStr">
        <x:is>
          <x:t xml:space="preserve">Data_Source</x:t>
        </x:is>
      </x:c>
    </x:row>
    <x:row r="118">
      <x:c r="A118" t="inlineStr">
        <x:is>
          <x:t xml:space="preserve">OCR</x:t>
        </x:is>
      </x:c>
    </x:row>
    <x:row r="119">
      <x:c r="A119" t="inlineStr">
        <x:is>
          <x:t xml:space="preserve">Manual</x:t>
        </x:is>
      </x:c>
    </x:row>
    <x:row r="120">
      <x:c r="A120" t="inlineStr">
        <x:is>
          <x:t xml:space="preserve">Imported</x:t>
        </x:is>
      </x:c>
    </x:row>
    <x:row r="121">
      <x:c r="A121" t="inlineStr">
        <x:is>
          <x:t xml:space="preserve">API</x:t>
        </x:is>
      </x:c>
    </x:row>
    <x:row r="122">
      <x:c r="A122" t="inlineStr">
        <x:is>
          <x:t xml:space="preserve">System Generated</x:t>
        </x:is>
      </x:c>
    </x:row>
    <x:row r="124">
      <x:c r="A124" s="3" t="inlineStr">
        <x:is>
          <x:t xml:space="preserve">WP_Output_Format</x:t>
        </x:is>
      </x:c>
    </x:row>
    <x:row r="125">
      <x:c r="A125" t="inlineStr">
        <x:is>
          <x:t xml:space="preserve">Excel</x:t>
        </x:is>
      </x:c>
    </x:row>
    <x:row r="126">
      <x:c r="A126" t="inlineStr">
        <x:is>
          <x:t xml:space="preserve">Word</x:t>
        </x:is>
      </x:c>
    </x:row>
    <x:row r="127">
      <x:c r="A127" t="inlineStr">
        <x:is>
          <x:t xml:space="preserve">PDF</x:t>
        </x:is>
      </x:c>
    </x:row>
    <x:row r="128">
      <x:c r="A128" t="inlineStr">
        <x:is>
          <x:t xml:space="preserve">JSON</x:t>
        </x:is>
      </x:c>
    </x:row>
    <x:row r="129">
      <x:c r="A129" t="inlineStr">
        <x:is>
          <x:t xml:space="preserve">Dashboard</x:t>
        </x:is>
      </x:c>
    </x:row>
    <x:row r="131">
      <x:c r="A131" s="3" t="inlineStr">
        <x:is>
          <x:t xml:space="preserve">Assertion</x:t>
        </x:is>
      </x:c>
    </x:row>
    <x:row r="132">
      <x:c r="A132" t="inlineStr">
        <x:is>
          <x:t xml:space="preserve">Existence</x:t>
        </x:is>
      </x:c>
    </x:row>
    <x:row r="133">
      <x:c r="A133" t="inlineStr">
        <x:is>
          <x:t xml:space="preserve">Completeness</x:t>
        </x:is>
      </x:c>
    </x:row>
    <x:row r="134">
      <x:c r="A134" t="inlineStr">
        <x:is>
          <x:t xml:space="preserve">Accuracy</x:t>
        </x:is>
      </x:c>
    </x:row>
    <x:row r="135">
      <x:c r="A135" t="inlineStr">
        <x:is>
          <x:t xml:space="preserve">Valuation</x:t>
        </x:is>
      </x:c>
    </x:row>
    <x:row r="136">
      <x:c r="A136" t="inlineStr">
        <x:is>
          <x:t xml:space="preserve">Cut-off</x:t>
        </x:is>
      </x:c>
    </x:row>
    <x:row r="137">
      <x:c r="A137" t="inlineStr">
        <x:is>
          <x:t xml:space="preserve">Rights &amp; Obligations</x:t>
        </x:is>
      </x:c>
    </x:row>
    <x:row r="138">
      <x:c r="A138" t="inlineStr">
        <x:is>
          <x:t xml:space="preserve">Occurrence</x:t>
        </x:is>
      </x:c>
    </x:row>
    <x:row r="139">
      <x:c r="A139" t="inlineStr">
        <x:is>
          <x:t xml:space="preserve">Classification</x:t>
        </x:is>
      </x:c>
    </x:row>
    <x:row r="140">
      <x:c r="A140" t="inlineStr">
        <x:is>
          <x:t xml:space="preserve">Presentation &amp; Disclosure</x:t>
        </x:is>
      </x:c>
    </x:row>
    <x:row r="142">
      <x:c r="A142" s="3" t="inlineStr">
        <x:is>
          <x:t xml:space="preserve">Statement_Type</x:t>
        </x:is>
      </x:c>
    </x:row>
    <x:row r="143">
      <x:c r="A143" t="inlineStr">
        <x:is>
          <x:t xml:space="preserve">Statement of Financial Position</x:t>
        </x:is>
      </x:c>
    </x:row>
    <x:row r="144">
      <x:c r="A144" t="inlineStr">
        <x:is>
          <x:t xml:space="preserve">Statement of Profit or Loss</x:t>
        </x:is>
      </x:c>
    </x:row>
    <x:row r="145">
      <x:c r="A145" t="inlineStr">
        <x:is>
          <x:t xml:space="preserve">Statement of Cash Flows</x:t>
        </x:is>
      </x:c>
    </x:row>
    <x:row r="146">
      <x:c r="A146" t="inlineStr">
        <x:is>
          <x:t xml:space="preserve">Statement of Changes in Equity</x:t>
        </x:is>
      </x:c>
    </x:row>
    <x:row r="147">
      <x:c r="A147" t="inlineStr">
        <x:is>
          <x:t xml:space="preserve">Notes to the Accounts</x:t>
        </x:is>
      </x:c>
    </x:row>
    <x:row r="148">
      <x:c r="A148" t="inlineStr">
        <x:is>
          <x:t xml:space="preserve">Tax Return</x:t>
        </x:is>
      </x:c>
    </x:row>
    <x:row r="149">
      <x:c r="A149" t="inlineStr">
        <x:is>
          <x:t xml:space="preserve">Other</x:t>
        </x:is>
      </x:c>
    </x:row>
    <x:row r="151">
      <x:c r="A151" s="3" t="inlineStr">
        <x:is>
          <x:t xml:space="preserve">Mapping_Method</x:t>
        </x:is>
      </x:c>
    </x:row>
    <x:row r="152">
      <x:c r="A152" t="inlineStr">
        <x:is>
          <x:t xml:space="preserve">Exact Match</x:t>
        </x:is>
      </x:c>
    </x:row>
    <x:row r="153">
      <x:c r="A153" t="inlineStr">
        <x:is>
          <x:t xml:space="preserve">AI Assisted</x:t>
        </x:is>
      </x:c>
    </x:row>
    <x:row r="154">
      <x:c r="A154" t="inlineStr">
        <x:is>
          <x:t xml:space="preserve">Rules Engine</x:t>
        </x:is>
      </x:c>
    </x:row>
    <x:row r="155">
      <x:c r="A155" t="inlineStr">
        <x:is>
          <x:t xml:space="preserve">Manual Review</x:t>
        </x:is>
      </x:c>
    </x:row>
    <x:row r="157">
      <x:c r="A157" s="3" t="inlineStr">
        <x:is>
          <x:t xml:space="preserve">Voucher_Type</x:t>
        </x:is>
      </x:c>
    </x:row>
    <x:row r="158">
      <x:c r="A158" t="inlineStr">
        <x:is>
          <x:t xml:space="preserve">JV</x:t>
        </x:is>
      </x:c>
    </x:row>
    <x:row r="159">
      <x:c r="A159" t="inlineStr">
        <x:is>
          <x:t xml:space="preserve">PV</x:t>
        </x:is>
      </x:c>
    </x:row>
    <x:row r="160">
      <x:c r="A160" t="inlineStr">
        <x:is>
          <x:t xml:space="preserve">RV</x:t>
        </x:is>
      </x:c>
    </x:row>
    <x:row r="161">
      <x:c r="A161" t="inlineStr">
        <x:is>
          <x:t xml:space="preserve">CRV</x:t>
        </x:is>
      </x:c>
    </x:row>
    <x:row r="162">
      <x:c r="A162" t="inlineStr">
        <x:is>
          <x:t xml:space="preserve">BRV</x:t>
        </x:is>
      </x:c>
    </x:row>
    <x:row r="163">
      <x:c r="A163" t="inlineStr">
        <x:is>
          <x:t xml:space="preserve">BPV</x:t>
        </x:is>
      </x:c>
    </x:row>
    <x:row r="164">
      <x:c r="A164" t="inlineStr">
        <x:is>
          <x:t xml:space="preserve">Sales</x:t>
        </x:is>
      </x:c>
    </x:row>
    <x:row r="165">
      <x:c r="A165" t="inlineStr">
        <x:is>
          <x:t xml:space="preserve">Purchase</x:t>
        </x:is>
      </x:c>
    </x:row>
    <x:row r="166">
      <x:c r="A166" t="inlineStr">
        <x:is>
          <x:t xml:space="preserve">Payroll</x:t>
        </x:is>
      </x:c>
    </x:row>
    <x:row r="167">
      <x:c r="A167" t="inlineStr">
        <x:is>
          <x:t xml:space="preserve">Adjustment</x:t>
        </x:is>
      </x:c>
    </x:row>
    <x:row r="168">
      <x:c r="A168" t="inlineStr">
        <x:is>
          <x:t xml:space="preserve">Opening</x:t>
        </x:is>
      </x:c>
    </x:row>
    <x:row r="169">
      <x:c r="A169" t="inlineStr">
        <x:is>
          <x:t xml:space="preserve">Closing</x:t>
        </x:is>
      </x:c>
    </x:row>
    <x:row r="171">
      <x:c r="A171" s="3" t="inlineStr">
        <x:is>
          <x:t xml:space="preserve">Sampling_Method</x:t>
        </x:is>
      </x:c>
    </x:row>
    <x:row r="172">
      <x:c r="A172" t="inlineStr">
        <x:is>
          <x:t xml:space="preserve">Random</x:t>
        </x:is>
      </x:c>
    </x:row>
    <x:row r="173">
      <x:c r="A173" t="inlineStr">
        <x:is>
          <x:t xml:space="preserve">MUS</x:t>
        </x:is>
      </x:c>
    </x:row>
    <x:row r="174">
      <x:c r="A174" t="inlineStr">
        <x:is>
          <x:t xml:space="preserve">Judgmental</x:t>
        </x:is>
      </x:c>
    </x:row>
    <x:row r="175">
      <x:c r="A175" t="inlineStr">
        <x:is>
          <x:t xml:space="preserve">Stratified</x:t>
        </x:is>
      </x:c>
    </x:row>
    <x:row r="176">
      <x:c r="A176" t="inlineStr">
        <x:is>
          <x:t xml:space="preserve">100% Testing</x:t>
        </x:is>
      </x:c>
    </x:row>
    <x:row r="177">
      <x:c r="A177" t="inlineStr">
        <x:is>
          <x:t xml:space="preserve">Haphazard</x:t>
        </x:is>
      </x:c>
    </x:row>
    <x:row r="178">
      <x:c r="A178" t="inlineStr">
        <x:is>
          <x:t xml:space="preserve">Systematic</x:t>
        </x:is>
      </x:c>
    </x:row>
    <x:row r="180">
      <x:c r="A180" s="3" t="inlineStr">
        <x:is>
          <x:t xml:space="preserve">Frequency</x:t>
        </x:is>
      </x:c>
    </x:row>
    <x:row r="181">
      <x:c r="A181" t="inlineStr">
        <x:is>
          <x:t xml:space="preserve">Daily</x:t>
        </x:is>
      </x:c>
    </x:row>
    <x:row r="182">
      <x:c r="A182" t="inlineStr">
        <x:is>
          <x:t xml:space="preserve">Weekly</x:t>
        </x:is>
      </x:c>
    </x:row>
    <x:row r="183">
      <x:c r="A183" t="inlineStr">
        <x:is>
          <x:t xml:space="preserve">Monthly</x:t>
        </x:is>
      </x:c>
    </x:row>
    <x:row r="184">
      <x:c r="A184" t="inlineStr">
        <x:is>
          <x:t xml:space="preserve">Quarterly</x:t>
        </x:is>
      </x:c>
    </x:row>
    <x:row r="185">
      <x:c r="A185" t="inlineStr">
        <x:is>
          <x:t xml:space="preserve">Annually</x:t>
        </x:is>
      </x:c>
    </x:row>
    <x:row r="186">
      <x:c r="A186" t="inlineStr">
        <x:is>
          <x:t xml:space="preserve">Per Transaction</x:t>
        </x:is>
      </x:c>
    </x:row>
    <x:row r="187">
      <x:c r="A187" t="inlineStr">
        <x:is>
          <x:t xml:space="preserve">Ad Hoc</x:t>
        </x:is>
      </x:c>
    </x:row>
    <x:row r="189">
      <x:c r="A189" s="3" t="inlineStr">
        <x:is>
          <x:t xml:space="preserve">Test_Type</x:t>
        </x:is>
      </x:c>
    </x:row>
    <x:row r="190">
      <x:c r="A190" t="inlineStr">
        <x:is>
          <x:t xml:space="preserve">ToC</x:t>
        </x:is>
      </x:c>
    </x:row>
    <x:row r="191">
      <x:c r="A191" t="inlineStr">
        <x:is>
          <x:t xml:space="preserve">Substantive</x:t>
        </x:is>
      </x:c>
    </x:row>
    <x:row r="192">
      <x:c r="A192" t="inlineStr">
        <x:is>
          <x:t xml:space="preserve">Analytical</x:t>
        </x:is>
      </x:c>
    </x:row>
    <x:row r="193">
      <x:c r="A193" t="inlineStr">
        <x:is>
          <x:t xml:space="preserve">Reperformance</x:t>
        </x:is>
      </x:c>
    </x:row>
    <x:row r="194">
      <x:c r="A194" t="inlineStr">
        <x:is>
          <x:t xml:space="preserve">Inquiry</x:t>
        </x:is>
      </x:c>
    </x:row>
    <x:row r="195">
      <x:c r="A195" t="inlineStr">
        <x:is>
          <x:t xml:space="preserve">Inspection</x:t>
        </x:is>
      </x:c>
    </x:row>
    <x:row r="196">
      <x:c r="A196" t="inlineStr">
        <x:is>
          <x:t xml:space="preserve">Observation</x:t>
        </x:is>
      </x:c>
    </x:row>
    <x:row r="198">
      <x:c r="A198" s="3" t="inlineStr">
        <x:is>
          <x:t xml:space="preserve">WP_Status</x:t>
        </x:is>
      </x:c>
    </x:row>
    <x:row r="199">
      <x:c r="A199" t="inlineStr">
        <x:is>
          <x:t xml:space="preserve">Not Started</x:t>
        </x:is>
      </x:c>
    </x:row>
    <x:row r="200">
      <x:c r="A200" t="inlineStr">
        <x:is>
          <x:t xml:space="preserve">In Progress</x:t>
        </x:is>
      </x:c>
    </x:row>
    <x:row r="201">
      <x:c r="A201" t="inlineStr">
        <x:is>
          <x:t xml:space="preserve">Prepared</x:t>
        </x:is>
      </x:c>
    </x:row>
    <x:row r="202">
      <x:c r="A202" t="inlineStr">
        <x:is>
          <x:t xml:space="preserve">Reviewed</x:t>
        </x:is>
      </x:c>
    </x:row>
    <x:row r="203">
      <x:c r="A203" t="inlineStr">
        <x:is>
          <x:t xml:space="preserve">Cleared</x:t>
        </x:is>
      </x:c>
    </x:row>
    <x:row r="204">
      <x:c r="A204" t="inlineStr">
        <x:is>
          <x:t xml:space="preserve">Archived</x:t>
        </x:is>
      </x:c>
    </x:row>
    <x:row r="206">
      <x:c r="A206" s="3" t="inlineStr">
        <x:is>
          <x:t xml:space="preserve">Review_Result</x:t>
        </x:is>
      </x:c>
    </x:row>
    <x:row r="207">
      <x:c r="A207" t="inlineStr">
        <x:is>
          <x:t xml:space="preserve">Pass</x:t>
        </x:is>
      </x:c>
    </x:row>
    <x:row r="208">
      <x:c r="A208" t="inlineStr">
        <x:is>
          <x:t xml:space="preserve">Fail</x:t>
        </x:is>
      </x:c>
    </x:row>
    <x:row r="209">
      <x:c r="A209" t="inlineStr">
        <x:is>
          <x:t xml:space="preserve">Exception</x:t>
        </x:is>
      </x:c>
    </x:row>
    <x:row r="210">
      <x:c r="A210" t="inlineStr">
        <x:is>
          <x:t xml:space="preserve">N/A</x:t>
        </x:is>
      </x:c>
    </x:row>
    <x:row r="212">
      <x:c r="A212" s="3" t="inlineStr">
        <x:is>
          <x:t xml:space="preserve">Sign_Convention</x:t>
        </x:is>
      </x:c>
    </x:row>
    <x:row r="213">
      <x:c r="A213" t="inlineStr">
        <x:is>
          <x:t xml:space="preserve">As Presented</x:t>
        </x:is>
      </x:c>
    </x:row>
    <x:row r="214">
      <x:c r="A214" t="inlineStr">
        <x:is>
          <x:t xml:space="preserve">Debit Positive</x:t>
        </x:is>
      </x:c>
    </x:row>
    <x:row r="215">
      <x:c r="A215" t="inlineStr">
        <x:is>
          <x:t xml:space="preserve">Credit Positive</x:t>
        </x:is>
      </x:c>
    </x:row>
    <x:row r="216">
      <x:c r="A216" t="inlineStr">
        <x:is>
          <x:t xml:space="preserve">Bracket Negative</x:t>
        </x:is>
      </x:c>
    </x:row>
    <x:row r="217">
      <x:c r="A217" t="inlineStr">
        <x:is>
          <x:t xml:space="preserve">Absolute</x:t>
        </x:is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1F4E78"/>
  </x:sheetPr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16" customWidth="1"/>
  </x:cols>
  <x:sheetData>
    <x:row r="1" ht="24" customHeight="1">
      <x:c r="A1" s="1" t="inlineStr">
        <x:is>
          <x:t xml:space="preserve">README</x:t>
        </x:is>
      </x:c>
    </x:row>
    <x:row r="2" ht="36" customHeight="1">
      <x:c r="A2" s="2" t="inlineStr">
        <x:is>
          <x:t xml:space="preserve">Fields in blue are intended for user or backend inputs. Black text cells are formulas. Review orange-highlighted items before finalization.</x:t>
        </x:is>
      </x:c>
    </x:row>
    <x:row r="4" ht="30" customHeight="1">
      <x:c r="A4" s="4" t="inlineStr">
        <x:is>
          <x:t xml:space="preserve">Section</x:t>
        </x:is>
      </x:c>
      <x:c r="B4" s="4" t="inlineStr">
        <x:is>
          <x:t xml:space="preserve">Detail</x:t>
        </x:is>
      </x:c>
      <x:c r="C4" s="4" t="inlineStr">
        <x:is>
          <x:t xml:space="preserve">Link / Formula</x:t>
        </x:is>
      </x:c>
    </x:row>
    <x:row r="5" ht="20" customHeight="1">
      <x:c r="A5" s="5" t="inlineStr">
        <x:is>
          <x:t xml:space="preserve">Workbook Purpose</x:t>
        </x:is>
      </x:c>
      <x:c r="B5" s="5" t="inlineStr">
        <x:is>
          <x:t xml:space="preserve">Backend template for the complete working paper generator: data intake, mapping, trial balance, ledger, audit logic, reconciliation, evidence, and sign-off.</x:t>
        </x:is>
      </x:c>
      <x:c r="C5" s="5" t="inlineStr">
        <x:is>
          <x:t xml:space="preserve"/>
        </x:is>
      </x:c>
    </x:row>
    <x:row r="6" ht="20" customHeight="1">
      <x:c r="A6" s="5" t="inlineStr">
        <x:is>
          <x:t xml:space="preserve">Recommended Flow</x:t>
        </x:is>
      </x:c>
      <x:c r="B6" s="5" t="inlineStr">
        <x:is>
          <x:t xml:space="preserve">1) Populate Entity_Profile  2) Load COA_Master  3) Import FS_Extraction_Staging and Journal_Import  4) Review FS_Mapping  5) Review TB_Generated and GL_Generated  6) Complete audit engine sheets  7) Clear Recon_Engine exceptions  8) Finalize Review_Signoff.</x:t>
        </x:is>
      </x:c>
      <x:c r="C6" s="5" t="inlineStr">
        <x:is>
          <x:t xml:space="preserve"/>
        </x:is>
      </x:c>
    </x:row>
    <x:row r="7" ht="20" customHeight="1">
      <x:c r="A7" s="5" t="inlineStr">
        <x:is>
          <x:t xml:space="preserve">Input Color</x:t>
        </x:is>
      </x:c>
      <x:c r="B7" s="5" t="inlineStr">
        <x:is>
          <x:t xml:space="preserve">Blue font = user/back-end input cells.</x:t>
        </x:is>
      </x:c>
      <x:c r="C7" s="5" t="inlineStr">
        <x:is>
          <x:t xml:space="preserve"/>
        </x:is>
      </x:c>
    </x:row>
    <x:row r="8" ht="20" customHeight="1">
      <x:c r="A8" s="5" t="inlineStr">
        <x:is>
          <x:t xml:space="preserve">Formula Color</x:t>
        </x:is>
      </x:c>
      <x:c r="B8" s="5" t="inlineStr">
        <x:is>
          <x:t xml:space="preserve">Black font = spreadsheet formulas / calculations.</x:t>
        </x:is>
      </x:c>
      <x:c r="C8" s="5" t="inlineStr">
        <x:is>
          <x:t xml:space="preserve"/>
        </x:is>
      </x:c>
    </x:row>
    <x:row r="9" ht="20" customHeight="1">
      <x:c r="A9" s="5" t="inlineStr">
        <x:is>
          <x:t xml:space="preserve">Linked Color</x:t>
        </x:is>
      </x:c>
      <x:c r="B9" s="5" t="inlineStr">
        <x:is>
          <x:t xml:space="preserve">Green font = linked / imported / mirrored cells.</x:t>
        </x:is>
      </x:c>
      <x:c r="C9" s="5" t="inlineStr">
        <x:is>
          <x:t xml:space="preserve"/>
        </x:is>
      </x:c>
    </x:row>
    <x:row r="10" ht="20" customHeight="1">
      <x:c r="A10" s="5" t="inlineStr">
        <x:is>
          <x:t xml:space="preserve">Logic Color</x:t>
        </x:is>
      </x:c>
      <x:c r="B10" s="5" t="inlineStr">
        <x:is>
          <x:t xml:space="preserve">Purple fill = control logic / status / validation areas.</x:t>
        </x:is>
      </x:c>
      <x:c r="C10" s="5" t="inlineStr">
        <x:is>
          <x:t xml:space="preserve"/>
        </x:is>
      </x:c>
    </x:row>
    <x:row r="11" ht="20" customHeight="1">
      <x:c r="A11" s="5" t="inlineStr">
        <x:is>
          <x:t xml:space="preserve">Caution</x:t>
        </x:is>
      </x:c>
      <x:c r="B11" s="5" t="inlineStr">
        <x:is>
          <x:t xml:space="preserve">Orange fill highlights low confidence, exceptions, or review flags.</x:t>
        </x:is>
      </x:c>
      <x:c r="C11" s="6" t="inlineStr">
        <x:is>
          <x:t xml:space="preserve"/>
        </x:is>
      </x:c>
    </x:row>
    <x:row r="12" ht="20" customHeight="1">
      <x:c r="A12" s="5" t="inlineStr">
        <x:is>
          <x:t xml:space="preserve">Go to Entity_Profile</x:t>
        </x:is>
      </x:c>
      <x:c r="B12" s="5" t="inlineStr">
        <x:is>
          <x:t xml:space="preserve">Core engagement setup and thresholds.</x:t>
        </x:is>
      </x:c>
      <x:c r="C12" s="22" t="inlineStr">
        <x:is>
          <x:t xml:space="preserve">Open Entity_Profile</x:t>
        </x:is>
      </x:c>
    </x:row>
    <x:row r="13" ht="20" customHeight="1">
      <x:c r="A13" s="5" t="inlineStr">
        <x:is>
          <x:t xml:space="preserve">Go to COA_Master</x:t>
        </x:is>
      </x:c>
      <x:c r="B13" s="5" t="inlineStr">
        <x:is>
          <x:t xml:space="preserve">Master chart of accounts and account attributes.</x:t>
        </x:is>
      </x:c>
      <x:c r="C13" s="22" t="inlineStr">
        <x:is>
          <x:t xml:space="preserve">Open COA_Master</x:t>
        </x:is>
      </x:c>
    </x:row>
    <x:row r="14" ht="20" customHeight="1">
      <x:c r="A14" s="5" t="inlineStr">
        <x:is>
          <x:t xml:space="preserve">Go to Journal_Import</x:t>
        </x:is>
      </x:c>
      <x:c r="B14" s="5" t="inlineStr">
        <x:is>
          <x:t xml:space="preserve">Transaction staging for TB / GL generation.</x:t>
        </x:is>
      </x:c>
      <x:c r="C14" s="22" t="inlineStr">
        <x:is>
          <x:t xml:space="preserve">Open Journal_Import</x:t>
        </x:is>
      </x:c>
    </x:row>
    <x:row r="15" ht="20" customHeight="1">
      <x:c r="A15" s="5" t="inlineStr">
        <x:is>
          <x:t xml:space="preserve">Go to TB_Generated</x:t>
        </x:is>
      </x:c>
      <x:c r="B15" s="5" t="inlineStr">
        <x:is>
          <x:t xml:space="preserve">Formula-driven trial balance view.</x:t>
        </x:is>
      </x:c>
      <x:c r="C15" s="22" t="inlineStr">
        <x:is>
          <x:t xml:space="preserve">Open TB_Generated</x:t>
        </x:is>
      </x:c>
    </x:row>
    <x:row r="16" ht="20" customHeight="1">
      <x:c r="A16" s="5" t="inlineStr">
        <x:is>
          <x:t xml:space="preserve">Go to Audit_Engine_Master</x:t>
        </x:is>
      </x:c>
      <x:c r="B16" s="5" t="inlineStr">
        <x:is>
          <x:t xml:space="preserve">Audit logic, flags, and engagement-level variables.</x:t>
        </x:is>
      </x:c>
      <x:c r="C16" s="22" t="inlineStr">
        <x:is>
          <x:t xml:space="preserve">Open Audit_Engine_Master</x:t>
        </x:is>
      </x:c>
    </x:row>
    <x:row r="17" ht="20" customHeight="1">
      <x:c r="A17" s="5" t="inlineStr">
        <x:is>
          <x:t xml:space="preserve">Go to Data_Dictionary</x:t>
        </x:is>
      </x:c>
      <x:c r="B17" s="5" t="inlineStr">
        <x:is>
          <x:t xml:space="preserve">Field-by-field backend specification.</x:t>
        </x:is>
      </x:c>
      <x:c r="C17" s="22" t="inlineStr">
        <x:is>
          <x:t xml:space="preserve">Open Data_Dictionary</x:t>
        </x:is>
      </x:c>
    </x:row>
  </x:sheetData>
  <x:mergeCells>
    <x:mergeCell ref="A2:F2"/>
    <x:mergeCell ref="A1:F1"/>
  </x:mergeCells>
  <x:pageMargins left="0.7" right="0.7" top="0.75" bottom="0.75" header="0.3" footer="0.3"/>
  <x:legacyDrawing xmlns:r="http://schemas.openxmlformats.org/officeDocument/2006/relationships" r:id="R2ef77795893043d0"/>
  <x:tableParts count="1">
    <x:tablePart xmlns:r="http://schemas.openxmlformats.org/officeDocument/2006/relationships" r:id="R9a0b2463474947d3"/>
  </x:tableParts>
</x:worksheet>
</file>

<file path=xl/worksheets/sheet3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5" customWidth="1"/>
    <x:col min="2" max="2" width="22" customWidth="1"/>
    <x:col min="3" max="3" width="13" customWidth="1"/>
    <x:col min="4" max="4" width="17" customWidth="1"/>
    <x:col min="5" max="5" width="22" customWidth="1"/>
    <x:col min="6" max="6" width="22" customWidth="1"/>
    <x:col min="7" max="7" width="22" customWidth="1"/>
    <x:col min="8" max="8" width="20" customWidth="1"/>
    <x:col min="9" max="9" width="22" customWidth="1"/>
    <x:col min="10" max="10" width="22" customWidth="1"/>
    <x:col min="11" max="11" width="21" customWidth="1"/>
    <x:col min="12" max="12" width="23" customWidth="1"/>
    <x:col min="13" max="13" width="15" customWidth="1"/>
    <x:col min="14" max="14" width="25" customWidth="1"/>
    <x:col min="15" max="15" width="15" customWidth="1"/>
    <x:col min="16" max="16" width="20" customWidth="1"/>
    <x:col min="17" max="17" width="17" customWidth="1"/>
    <x:col min="18" max="18" width="13" customWidth="1"/>
    <x:col min="19" max="19" width="13" customWidth="1"/>
    <x:col min="20" max="20" width="13" customWidth="1"/>
    <x:col min="21" max="21" width="19" customWidth="1"/>
    <x:col min="22" max="22" width="12" customWidth="1"/>
    <x:col min="23" max="23" width="18" customWidth="1"/>
    <x:col min="24" max="24" width="18" customWidth="1"/>
  </x:cols>
  <x:sheetData>
    <x:row r="1" ht="24" customHeight="1">
      <x:c r="A1" s="1" t="inlineStr">
        <x:is>
          <x:t xml:space="preserve">Entity_Profile</x:t>
        </x:is>
      </x:c>
    </x:row>
    <x:row r="2" ht="36" customHeight="1">
      <x:c r="A2" s="2" t="inlineStr">
        <x:is>
          <x:t xml:space="preserve">Fields in blue are intended for user or backend inputs. Black text cells are formulas. Review orange-highlighted items before finalization.</x:t>
        </x:is>
      </x:c>
    </x:row>
    <x:row r="3">
      <x:c r="A3" s="8" t="inlineStr">
        <x:is>
          <x:t xml:space="preserve">Control Note</x:t>
        </x:is>
      </x:c>
      <x:c r="B3" s="8" t="inlineStr">
        <x:is>
          <x:t xml:space="preserve">Populate / import source data first, then review formula-driven sheets and clear all CHECK / Yes exceptions before finalization.</x:t>
        </x:is>
      </x:c>
    </x:row>
    <x:row r="4" ht="30" customHeight="1">
      <x:c r="A4" s="4" t="inlineStr">
        <x:is>
          <x:t xml:space="preserve">Engagement_ID</x:t>
        </x:is>
      </x:c>
      <x:c r="B4" s="4" t="inlineStr">
        <x:is>
          <x:t xml:space="preserve">Client_Name</x:t>
        </x:is>
      </x:c>
      <x:c r="C4" s="4" t="inlineStr">
        <x:is>
          <x:t xml:space="preserve">Client_Code</x:t>
        </x:is>
      </x:c>
      <x:c r="D4" s="4" t="inlineStr">
        <x:is>
          <x:t xml:space="preserve">Registration_No</x:t>
        </x:is>
      </x:c>
      <x:c r="E4" s="4" t="inlineStr">
        <x:is>
          <x:t xml:space="preserve">Entity_Type</x:t>
        </x:is>
      </x:c>
      <x:c r="F4" s="4" t="inlineStr">
        <x:is>
          <x:t xml:space="preserve">Industry_Type</x:t>
        </x:is>
      </x:c>
      <x:c r="G4" s="4" t="inlineStr">
        <x:is>
          <x:t xml:space="preserve">Financial_Year_Start</x:t>
        </x:is>
      </x:c>
      <x:c r="H4" s="4" t="inlineStr">
        <x:is>
          <x:t xml:space="preserve">Financial_Year_End</x:t>
        </x:is>
      </x:c>
      <x:c r="I4" s="4" t="inlineStr">
        <x:is>
          <x:t xml:space="preserve">Reporting_Framework</x:t>
        </x:is>
      </x:c>
      <x:c r="J4" s="4" t="inlineStr">
        <x:is>
          <x:t xml:space="preserve">Audit_Type</x:t>
        </x:is>
      </x:c>
      <x:c r="K4" s="4" t="inlineStr">
        <x:is>
          <x:t xml:space="preserve">Functional_Currency</x:t>
        </x:is>
      </x:c>
      <x:c r="L4" s="4" t="inlineStr">
        <x:is>
          <x:t xml:space="preserve">Presentation_Currency</x:t>
        </x:is>
      </x:c>
      <x:c r="M4" s="4" t="inlineStr">
        <x:is>
          <x:t xml:space="preserve">Materiality_Amount</x:t>
        </x:is>
      </x:c>
      <x:c r="N4" s="4" t="inlineStr">
        <x:is>
          <x:t xml:space="preserve">Performance_Materiality</x:t>
        </x:is>
      </x:c>
      <x:c r="O4" s="4" t="inlineStr">
        <x:is>
          <x:t xml:space="preserve">Triviality_Threshold</x:t>
        </x:is>
      </x:c>
      <x:c r="P4" s="4" t="inlineStr">
        <x:is>
          <x:t xml:space="preserve">Risk_Level_Overall</x:t>
        </x:is>
      </x:c>
      <x:c r="Q4" s="4" t="inlineStr">
        <x:is>
          <x:t xml:space="preserve">Sampling_Method</x:t>
        </x:is>
      </x:c>
      <x:c r="R4" s="4" t="inlineStr">
        <x:is>
          <x:t xml:space="preserve">Prepared_By</x:t>
        </x:is>
      </x:c>
      <x:c r="S4" s="4" t="inlineStr">
        <x:is>
          <x:t xml:space="preserve">Reviewed_By</x:t>
        </x:is>
      </x:c>
      <x:c r="T4" s="4" t="inlineStr">
        <x:is>
          <x:t xml:space="preserve">Approved_By</x:t>
        </x:is>
      </x:c>
      <x:c r="U4" s="4" t="inlineStr">
        <x:is>
          <x:t xml:space="preserve">Engagement_Status</x:t>
        </x:is>
      </x:c>
      <x:c r="V4" s="4" t="inlineStr">
        <x:is>
          <x:t xml:space="preserve">Version_No</x:t>
        </x:is>
      </x:c>
      <x:c r="W4" s="4" t="inlineStr">
        <x:is>
          <x:t xml:space="preserve">Created_Timestamp</x:t>
        </x:is>
      </x:c>
      <x:c r="X4" s="4" t="inlineStr">
        <x:is>
          <x:t xml:space="preserve">Last_Updated_Timestamp</x:t>
        </x:is>
      </x:c>
    </x:row>
    <x:row r="5" ht="20" customHeight="1">
      <x:c r="A5" s="5" t="inlineStr">
        <x:is>
          <x:t xml:space="preserve">ENG-001</x:t>
        </x:is>
      </x:c>
      <x:c r="B5" s="5" t="inlineStr">
        <x:is>
          <x:t xml:space="preserve">ABC Manufacturing (Private) Limited</x:t>
        </x:is>
      </x:c>
      <x:c r="C5" s="5" t="inlineStr">
        <x:is>
          <x:t xml:space="preserve">ABC-ML</x:t>
        </x:is>
      </x:c>
      <x:c r="D5" s="5" t="inlineStr">
        <x:is>
          <x:t xml:space="preserve">NTN/SECP-EXAMPLE</x:t>
        </x:is>
      </x:c>
      <x:c r="E5" s="5" t="inlineStr">
        <x:is>
          <x:t xml:space="preserve">Private Limited</x:t>
        </x:is>
      </x:c>
      <x:c r="F5" s="5" t="inlineStr">
        <x:is>
          <x:t xml:space="preserve">Manufacturing</x:t>
        </x:is>
      </x:c>
      <x:c r="G5" s="23" t="n">
        <x:v>45474</x:v>
      </x:c>
      <x:c r="H5" s="23" t="n">
        <x:v>45838</x:v>
      </x:c>
      <x:c r="I5" s="5" t="inlineStr">
        <x:is>
          <x:t xml:space="preserve">IFRS</x:t>
        </x:is>
      </x:c>
      <x:c r="J5" s="5" t="inlineStr">
        <x:is>
          <x:t xml:space="preserve">Statutory Audit</x:t>
        </x:is>
      </x:c>
      <x:c r="K5" s="5" t="inlineStr">
        <x:is>
          <x:t xml:space="preserve">PKR</x:t>
        </x:is>
      </x:c>
      <x:c r="L5" s="5" t="inlineStr">
        <x:is>
          <x:t xml:space="preserve">PKR</x:t>
        </x:is>
      </x:c>
      <x:c r="M5" s="10" t="n">
        <x:v>2000000</x:v>
      </x:c>
      <x:c r="N5" s="10" t="n">
        <x:v>1500000</x:v>
      </x:c>
      <x:c r="O5" s="10" t="n">
        <x:v>50000</x:v>
      </x:c>
      <x:c r="P5" s="5" t="inlineStr">
        <x:is>
          <x:t xml:space="preserve">High</x:t>
        </x:is>
      </x:c>
      <x:c r="Q5" s="5" t="inlineStr">
        <x:is>
          <x:t xml:space="preserve">MUS</x:t>
        </x:is>
      </x:c>
      <x:c r="R5" s="5" t="inlineStr">
        <x:is>
          <x:t xml:space="preserve">Associate 1</x:t>
        </x:is>
      </x:c>
      <x:c r="S5" s="5" t="inlineStr">
        <x:is>
          <x:t xml:space="preserve">Manager 1</x:t>
        </x:is>
      </x:c>
      <x:c r="T5" s="5" t="inlineStr">
        <x:is>
          <x:t xml:space="preserve">Partner 1</x:t>
        </x:is>
      </x:c>
      <x:c r="U5" s="5" t="inlineStr">
        <x:is>
          <x:t xml:space="preserve">Planning</x:t>
        </x:is>
      </x:c>
      <x:c r="V5" s="5" t="inlineStr">
        <x:is>
          <x:t xml:space="preserve">v1.0</x:t>
        </x:is>
      </x:c>
      <x:c r="W5" s="24" t="n">
        <x:v>46116.375</x:v>
      </x:c>
      <x:c r="X5" s="24" t="n">
        <x:v>46116.375</x:v>
      </x:c>
    </x:row>
  </x:sheetData>
  <x:mergeCells>
    <x:mergeCell ref="A2:X2"/>
    <x:mergeCell ref="A1:X1"/>
    <x:mergeCell ref="B3:F3"/>
  </x:mergeCells>
  <x:dataValidations count="7">
    <x:dataValidation type="list" allowBlank="1" showDropDown="0" showInputMessage="0" showErrorMessage="0" sqref="E5:E305">
      <x:formula1>=Lists_Ref!$A$5:$A$14</x:formula1>
    </x:dataValidation>
    <x:dataValidation type="list" allowBlank="1" showDropDown="0" showInputMessage="0" showErrorMessage="0" sqref="F5:F305">
      <x:formula1>=Lists_Ref!$A$17:$A$31</x:formula1>
    </x:dataValidation>
    <x:dataValidation type="list" allowBlank="1" showDropDown="0" showInputMessage="0" showErrorMessage="0" sqref="I5:I305">
      <x:formula1>=Lists_Ref!$A$34:$A$38</x:formula1>
    </x:dataValidation>
    <x:dataValidation type="list" allowBlank="1" showDropDown="0" showInputMessage="0" showErrorMessage="0" sqref="J5:J305">
      <x:formula1>=Lists_Ref!$A$41:$A$46</x:formula1>
    </x:dataValidation>
    <x:dataValidation type="list" allowBlank="1" showDropDown="0" showInputMessage="0" showErrorMessage="0" sqref="P5:P305">
      <x:formula1>=Lists_Ref!$A$100:$A$103</x:formula1>
    </x:dataValidation>
    <x:dataValidation type="list" allowBlank="1" showDropDown="0" showInputMessage="0" showErrorMessage="0" sqref="Q5:Q305">
      <x:formula1>=Lists_Ref!$A$172:$A$178</x:formula1>
    </x:dataValidation>
    <x:dataValidation type="list" allowBlank="1" showDropDown="0" showInputMessage="0" showErrorMessage="0" sqref="U5:U305">
      <x:formula1>=Lists_Ref!$A$49:$A$54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8dbdf3b2044143"/>
  </x:tableParts>
</x:worksheet>
</file>

<file path=xl/worksheets/sheet4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13" customWidth="1"/>
    <x:col min="3" max="3" width="22" customWidth="1"/>
    <x:col min="4" max="4" width="12" customWidth="1"/>
    <x:col min="5" max="5" width="13" customWidth="1"/>
    <x:col min="6" max="6" width="22" customWidth="1"/>
    <x:col min="7" max="7" width="15" customWidth="1"/>
    <x:col min="8" max="8" width="14" customWidth="1"/>
    <x:col min="9" max="9" width="22" customWidth="1"/>
    <x:col min="10" max="10" width="22" customWidth="1"/>
    <x:col min="11" max="11" width="15" customWidth="1"/>
    <x:col min="12" max="12" width="20" customWidth="1"/>
    <x:col min="13" max="13" width="15" customWidth="1"/>
    <x:col min="14" max="14" width="15" customWidth="1"/>
    <x:col min="15" max="15" width="13" customWidth="1"/>
    <x:col min="16" max="16" width="14" customWidth="1"/>
    <x:col min="17" max="17" width="15" customWidth="1"/>
    <x:col min="18" max="18" width="15" customWidth="1"/>
    <x:col min="19" max="19" width="12" customWidth="1"/>
    <x:col min="20" max="20" width="17" customWidth="1"/>
    <x:col min="21" max="21" width="12" customWidth="1"/>
    <x:col min="22" max="22" width="15" customWidth="1"/>
    <x:col min="23" max="23" width="20" customWidth="1"/>
    <x:col min="24" max="24" width="15" customWidth="1"/>
    <x:col min="25" max="25" width="17" customWidth="1"/>
    <x:col min="26" max="26" width="22" customWidth="1"/>
    <x:col min="27" max="27" width="20" customWidth="1"/>
    <x:col min="28" max="28" width="21" customWidth="1"/>
    <x:col min="29" max="29" width="13" customWidth="1"/>
    <x:col min="30" max="30" width="15" customWidth="1"/>
    <x:col min="31" max="31" width="16" customWidth="1"/>
    <x:col min="32" max="32" width="28" customWidth="1"/>
    <x:col min="33" max="33" width="13" customWidth="1"/>
    <x:col min="34" max="34" width="13" customWidth="1"/>
    <x:col min="35" max="35" width="13" customWidth="1"/>
    <x:col min="36" max="36" width="18" customWidth="1"/>
  </x:cols>
  <x:sheetData>
    <x:row r="1" ht="24" customHeight="1">
      <x:c r="A1" s="1" t="inlineStr">
        <x:is>
          <x:t xml:space="preserve">COA_Master</x:t>
        </x:is>
      </x:c>
    </x:row>
    <x:row r="2" ht="36" customHeight="1">
      <x:c r="A2" s="2" t="inlineStr">
        <x:is>
          <x:t xml:space="preserve">Fields in blue are intended for user or backend inputs. Black text cells are formulas. Review orange-highlighted items before finalization.</x:t>
        </x:is>
      </x:c>
    </x:row>
    <x:row r="3">
      <x:c r="A3" s="8" t="inlineStr">
        <x:is>
          <x:t xml:space="preserve">Control Note</x:t>
        </x:is>
      </x:c>
      <x:c r="B3" s="8" t="inlineStr">
        <x:is>
          <x:t xml:space="preserve">Populate / import source data first, then review formula-driven sheets and clear all CHECK / Yes exceptions before finalization.</x:t>
        </x:is>
      </x:c>
    </x:row>
    <x:row r="4" ht="30" customHeight="1">
      <x:c r="A4" s="4" t="inlineStr">
        <x:is>
          <x:t xml:space="preserve">Account_Code</x:t>
        </x:is>
      </x:c>
      <x:c r="B4" s="4" t="inlineStr">
        <x:is>
          <x:t xml:space="preserve">Parent_Code</x:t>
        </x:is>
      </x:c>
      <x:c r="C4" s="4" t="inlineStr">
        <x:is>
          <x:t xml:space="preserve">Account_Name</x:t>
        </x:is>
      </x:c>
      <x:c r="D4" s="4" t="inlineStr">
        <x:is>
          <x:t xml:space="preserve">FS_Head</x:t>
        </x:is>
      </x:c>
      <x:c r="E4" s="4" t="inlineStr">
        <x:is>
          <x:t xml:space="preserve">FS_Sub_Head</x:t>
        </x:is>
      </x:c>
      <x:c r="F4" s="4" t="inlineStr">
        <x:is>
          <x:t xml:space="preserve">Account_Type</x:t>
        </x:is>
      </x:c>
      <x:c r="G4" s="4" t="inlineStr">
        <x:is>
          <x:t xml:space="preserve">Normal_Balance</x:t>
        </x:is>
      </x:c>
      <x:c r="H4" s="4" t="inlineStr">
        <x:is>
          <x:t xml:space="preserve">Industry_Tag</x:t>
        </x:is>
      </x:c>
      <x:c r="I4" s="4" t="inlineStr">
        <x:is>
          <x:t xml:space="preserve">Entity_Type_Tag</x:t>
        </x:is>
      </x:c>
      <x:c r="J4" s="4" t="inlineStr">
        <x:is>
          <x:t xml:space="preserve">IFRS_Reference</x:t>
        </x:is>
      </x:c>
      <x:c r="K4" s="4" t="inlineStr">
        <x:is>
          <x:t xml:space="preserve">Tax_Treatment</x:t>
        </x:is>
      </x:c>
      <x:c r="L4" s="4" t="inlineStr">
        <x:is>
          <x:t xml:space="preserve">Is_Control_Account</x:t>
        </x:is>
      </x:c>
      <x:c r="M4" s="4" t="inlineStr">
        <x:is>
          <x:t xml:space="preserve">Is_Sub_Ledger</x:t>
        </x:is>
      </x:c>
      <x:c r="N4" s="4" t="inlineStr">
        <x:is>
          <x:t xml:space="preserve">Opening_Balance</x:t>
        </x:is>
      </x:c>
      <x:c r="O4" s="4" t="inlineStr">
        <x:is>
          <x:t xml:space="preserve">Debit_Total</x:t>
        </x:is>
      </x:c>
      <x:c r="P4" s="4" t="inlineStr">
        <x:is>
          <x:t xml:space="preserve">Credit_Total</x:t>
        </x:is>
      </x:c>
      <x:c r="Q4" s="4" t="inlineStr">
        <x:is>
          <x:t xml:space="preserve">Closing_Balance</x:t>
        </x:is>
      </x:c>
      <x:c r="R4" s="4" t="inlineStr">
        <x:is>
          <x:t xml:space="preserve">Prior_Year_Balance</x:t>
        </x:is>
      </x:c>
      <x:c r="S4" s="4" t="inlineStr">
        <x:is>
          <x:t xml:space="preserve">Variance</x:t>
        </x:is>
      </x:c>
      <x:c r="T4" s="4" t="inlineStr">
        <x:is>
          <x:t xml:space="preserve">Materiality_Tag</x:t>
        </x:is>
      </x:c>
      <x:c r="U4" s="4" t="inlineStr">
        <x:is>
          <x:t xml:space="preserve">Risk_Tag</x:t>
        </x:is>
      </x:c>
      <x:c r="V4" s="4" t="inlineStr">
        <x:is>
          <x:t xml:space="preserve">Assertion_Tag</x:t>
        </x:is>
      </x:c>
      <x:c r="W4" s="4" t="inlineStr">
        <x:is>
          <x:t xml:space="preserve">Related_Party_Flag</x:t>
        </x:is>
      </x:c>
      <x:c r="X4" s="4" t="inlineStr">
        <x:is>
          <x:t xml:space="preserve">Cash_Flow_Tag</x:t>
        </x:is>
      </x:c>
      <x:c r="Y4" s="4" t="inlineStr">
        <x:is>
          <x:t xml:space="preserve">Mapping_GL_Code</x:t>
        </x:is>
      </x:c>
      <x:c r="Z4" s="4" t="inlineStr">
        <x:is>
          <x:t xml:space="preserve">Mapping_FS_Line</x:t>
        </x:is>
      </x:c>
      <x:c r="AA4" s="4" t="inlineStr">
        <x:is>
          <x:t xml:space="preserve">Working_Paper_Code</x:t>
        </x:is>
      </x:c>
      <x:c r="AB4" s="4" t="inlineStr">
        <x:is>
          <x:t xml:space="preserve">Reconciliation_Flag</x:t>
        </x:is>
      </x:c>
      <x:c r="AC4" s="4" t="inlineStr">
        <x:is>
          <x:t xml:space="preserve">Data_Source</x:t>
        </x:is>
      </x:c>
      <x:c r="AD4" s="4" t="inlineStr">
        <x:is>
          <x:t xml:space="preserve">Confidence_Score</x:t>
        </x:is>
      </x:c>
      <x:c r="AE4" s="4" t="inlineStr">
        <x:is>
          <x:t xml:space="preserve">Exception_Flag</x:t>
        </x:is>
      </x:c>
      <x:c r="AF4" s="4" t="inlineStr">
        <x:is>
          <x:t xml:space="preserve">Notes</x:t>
        </x:is>
      </x:c>
      <x:c r="AG4" s="4" t="inlineStr">
        <x:is>
          <x:t xml:space="preserve">Prepared_By</x:t>
        </x:is>
      </x:c>
      <x:c r="AH4" s="4" t="inlineStr">
        <x:is>
          <x:t xml:space="preserve">Reviewed_By</x:t>
        </x:is>
      </x:c>
      <x:c r="AI4" s="4" t="inlineStr">
        <x:is>
          <x:t xml:space="preserve">Approved_By</x:t>
        </x:is>
      </x:c>
      <x:c r="AJ4" s="4" t="inlineStr">
        <x:is>
          <x:t xml:space="preserve">Timestamp</x:t>
        </x:is>
      </x:c>
    </x:row>
    <x:row r="5" ht="20" customHeight="1">
      <x:c r="A5" s="5" t="inlineStr">
        <x:is>
          <x:t xml:space="preserve">110101</x:t>
        </x:is>
      </x:c>
      <x:c r="B5" s="5" t="inlineStr">
        <x:is>
          <x:t xml:space="preserve">1101</x:t>
        </x:is>
      </x:c>
      <x:c r="C5" s="5" t="inlineStr">
        <x:is>
          <x:t xml:space="preserve">Land</x:t>
        </x:is>
      </x:c>
      <x:c r="D5" s="5" t="inlineStr">
        <x:is>
          <x:t xml:space="preserve">Non-Current Assets</x:t>
        </x:is>
      </x:c>
      <x:c r="E5" s="5" t="inlineStr">
        <x:is>
          <x:t xml:space="preserve">Property, Plant &amp; Equipment</x:t>
        </x:is>
      </x:c>
      <x:c r="F5" s="5" t="inlineStr">
        <x:is>
          <x:t xml:space="preserve">Asset</x:t>
        </x:is>
      </x:c>
      <x:c r="G5" s="5" t="inlineStr">
        <x:is>
          <x:t xml:space="preserve">Debit</x:t>
        </x:is>
      </x:c>
      <x:c r="H5" s="5" t="inlineStr">
        <x:is>
          <x:t xml:space="preserve">Manufacturing,Trading,Services</x:t>
        </x:is>
      </x:c>
      <x:c r="I5" s="5" t="inlineStr">
        <x:is>
          <x:t xml:space="preserve">Private Limited,Public Unlisted,Listed</x:t>
        </x:is>
      </x:c>
      <x:c r="J5" s="5" t="inlineStr">
        <x:is>
          <x:t xml:space="preserve">IAS 16</x:t>
        </x:is>
      </x:c>
      <x:c r="K5" s="5" t="inlineStr">
        <x:is>
          <x:t xml:space="preserve">Capital</x:t>
        </x:is>
      </x:c>
      <x:c r="L5" s="5" t="inlineStr">
        <x:is>
          <x:t xml:space="preserve">No</x:t>
        </x:is>
      </x:c>
      <x:c r="M5" s="5" t="inlineStr">
        <x:is>
          <x:t xml:space="preserve">No</x:t>
        </x:is>
      </x:c>
      <x:c r="N5" s="10" t="n">
        <x:v>0</x:v>
      </x:c>
      <x:c r="O5" s="12">
        <x:f>IF(A5="","",SUMIFS(Journal_Import!$S:$S,Journal_Import!$I:$I,A5))</x:f>
        <x:v>0</x:v>
      </x:c>
      <x:c r="P5" s="12">
        <x:f>IF(A5="","",SUMIFS(Journal_Import!$T:$T,Journal_Import!$I:$I,A5))</x:f>
        <x:v>0</x:v>
      </x:c>
      <x:c r="Q5" s="12">
        <x:f>IF(A5="","",IF(G5="Debit",N5+O5-P5,N5-O5+P5))</x:f>
        <x:v>0</x:v>
      </x:c>
      <x:c r="R5" s="10" t="n">
        <x:v>0</x:v>
      </x:c>
      <x:c r="S5" s="12">
        <x:f>IF(A5="","",Q5-R5)</x:f>
        <x:v>0</x:v>
      </x:c>
      <x:c r="T5" s="5" t="inlineStr">
        <x:is>
          <x:t xml:space="preserve">Low</x:t>
        </x:is>
      </x:c>
      <x:c r="U5" s="5" t="inlineStr">
        <x:is>
          <x:t xml:space="preserve">Low</x:t>
        </x:is>
      </x:c>
      <x:c r="V5" s="5" t="inlineStr">
        <x:is>
          <x:t xml:space="preserve">Existence,Valuation,Rights &amp; Obligations</x:t>
        </x:is>
      </x:c>
      <x:c r="W5" s="5" t="inlineStr">
        <x:is>
          <x:t xml:space="preserve">No</x:t>
        </x:is>
      </x:c>
      <x:c r="X5" s="5" t="inlineStr">
        <x:is>
          <x:t xml:space="preserve">Investing</x:t>
        </x:is>
      </x:c>
      <x:c r="Y5" s="5" t="inlineStr">
        <x:is>
          <x:t xml:space="preserve">GL-110101</x:t>
        </x:is>
      </x:c>
      <x:c r="Z5" s="5" t="inlineStr">
        <x:is>
          <x:t xml:space="preserve">Land</x:t>
        </x:is>
      </x:c>
      <x:c r="AA5" s="5" t="inlineStr">
        <x:is>
          <x:t xml:space="preserve">FA-01</x:t>
        </x:is>
      </x:c>
      <x:c r="AB5" s="5" t="inlineStr">
        <x:is>
          <x:t xml:space="preserve">Yes</x:t>
        </x:is>
      </x:c>
      <x:c r="AC5" s="5" t="inlineStr">
        <x:is>
          <x:t xml:space="preserve">Imported</x:t>
        </x:is>
      </x:c>
      <x:c r="AD5" s="10" t="n">
        <x:v>100</x:v>
      </x:c>
      <x:c r="AE5" s="5" t="inlineStr">
        <x:is>
          <x:t xml:space="preserve">No</x:t>
        </x:is>
      </x:c>
      <x:c r="AF5" s="5" t="inlineStr">
        <x:is>
          <x:t xml:space="preserve"/>
        </x:is>
      </x:c>
      <x:c r="AG5" s="5" t="inlineStr">
        <x:is>
          <x:t xml:space="preserve">Associate 1</x:t>
        </x:is>
      </x:c>
      <x:c r="AH5" s="5" t="inlineStr">
        <x:is>
          <x:t xml:space="preserve">Manager 1</x:t>
        </x:is>
      </x:c>
      <x:c r="AI5" s="5" t="inlineStr">
        <x:is>
          <x:t xml:space="preserve">Partner 1</x:t>
        </x:is>
      </x:c>
      <x:c r="AJ5" s="24" t="n">
        <x:v>46116.375</x:v>
      </x:c>
    </x:row>
    <x:row r="6" ht="20" customHeight="1">
      <x:c r="A6" s="5" t="inlineStr">
        <x:is>
          <x:t xml:space="preserve">110201</x:t>
        </x:is>
      </x:c>
      <x:c r="B6" s="5" t="inlineStr">
        <x:is>
          <x:t xml:space="preserve">1102</x:t>
        </x:is>
      </x:c>
      <x:c r="C6" s="5" t="inlineStr">
        <x:is>
          <x:t xml:space="preserve">Building</x:t>
        </x:is>
      </x:c>
      <x:c r="D6" s="5" t="inlineStr">
        <x:is>
          <x:t xml:space="preserve">Non-Current Assets</x:t>
        </x:is>
      </x:c>
      <x:c r="E6" s="5" t="inlineStr">
        <x:is>
          <x:t xml:space="preserve">Property, Plant &amp; Equipment</x:t>
        </x:is>
      </x:c>
      <x:c r="F6" s="5" t="inlineStr">
        <x:is>
          <x:t xml:space="preserve">Asset</x:t>
        </x:is>
      </x:c>
      <x:c r="G6" s="5" t="inlineStr">
        <x:is>
          <x:t xml:space="preserve">Debit</x:t>
        </x:is>
      </x:c>
      <x:c r="H6" s="5" t="inlineStr">
        <x:is>
          <x:t xml:space="preserve">Manufacturing,Trading,Services</x:t>
        </x:is>
      </x:c>
      <x:c r="I6" s="5" t="inlineStr">
        <x:is>
          <x:t xml:space="preserve">Private Limited,Public Unlisted,Listed</x:t>
        </x:is>
      </x:c>
      <x:c r="J6" s="5" t="inlineStr">
        <x:is>
          <x:t xml:space="preserve">IAS 16</x:t>
        </x:is>
      </x:c>
      <x:c r="K6" s="5" t="inlineStr">
        <x:is>
          <x:t xml:space="preserve">Capital</x:t>
        </x:is>
      </x:c>
      <x:c r="L6" s="5" t="inlineStr">
        <x:is>
          <x:t xml:space="preserve">No</x:t>
        </x:is>
      </x:c>
      <x:c r="M6" s="5" t="inlineStr">
        <x:is>
          <x:t xml:space="preserve">No</x:t>
        </x:is>
      </x:c>
      <x:c r="N6" s="10" t="n">
        <x:v>0</x:v>
      </x:c>
      <x:c r="O6" s="12">
        <x:f>IF(A6="","",SUMIFS(Journal_Import!$S:$S,Journal_Import!$I:$I,A6))</x:f>
        <x:v>0</x:v>
      </x:c>
      <x:c r="P6" s="12">
        <x:f>IF(A6="","",SUMIFS(Journal_Import!$T:$T,Journal_Import!$I:$I,A6))</x:f>
        <x:v>0</x:v>
      </x:c>
      <x:c r="Q6" s="12">
        <x:f>IF(A6="","",IF(G6="Debit",N6+O6-P6,N6-O6+P6))</x:f>
        <x:v>0</x:v>
      </x:c>
      <x:c r="R6" s="10" t="n">
        <x:v>0</x:v>
      </x:c>
      <x:c r="S6" s="12">
        <x:f>IF(A6="","",Q6-R6)</x:f>
        <x:v>0</x:v>
      </x:c>
      <x:c r="T6" s="5" t="inlineStr">
        <x:is>
          <x:t xml:space="preserve">Medium</x:t>
        </x:is>
      </x:c>
      <x:c r="U6" s="5" t="inlineStr">
        <x:is>
          <x:t xml:space="preserve">Medium</x:t>
        </x:is>
      </x:c>
      <x:c r="V6" s="5" t="inlineStr">
        <x:is>
          <x:t xml:space="preserve">Existence,Valuation</x:t>
        </x:is>
      </x:c>
      <x:c r="W6" s="5" t="inlineStr">
        <x:is>
          <x:t xml:space="preserve">No</x:t>
        </x:is>
      </x:c>
      <x:c r="X6" s="5" t="inlineStr">
        <x:is>
          <x:t xml:space="preserve">Investing</x:t>
        </x:is>
      </x:c>
      <x:c r="Y6" s="5" t="inlineStr">
        <x:is>
          <x:t xml:space="preserve">GL-110201</x:t>
        </x:is>
      </x:c>
      <x:c r="Z6" s="5" t="inlineStr">
        <x:is>
          <x:t xml:space="preserve">Building</x:t>
        </x:is>
      </x:c>
      <x:c r="AA6" s="5" t="inlineStr">
        <x:is>
          <x:t xml:space="preserve">FA-01</x:t>
        </x:is>
      </x:c>
      <x:c r="AB6" s="5" t="inlineStr">
        <x:is>
          <x:t xml:space="preserve">Yes</x:t>
        </x:is>
      </x:c>
      <x:c r="AC6" s="5" t="inlineStr">
        <x:is>
          <x:t xml:space="preserve">Imported</x:t>
        </x:is>
      </x:c>
      <x:c r="AD6" s="10" t="n">
        <x:v>100</x:v>
      </x:c>
      <x:c r="AE6" s="5" t="inlineStr">
        <x:is>
          <x:t xml:space="preserve">No</x:t>
        </x:is>
      </x:c>
      <x:c r="AF6" s="5" t="inlineStr">
        <x:is>
          <x:t xml:space="preserve"/>
        </x:is>
      </x:c>
      <x:c r="AG6" s="5" t="inlineStr">
        <x:is>
          <x:t xml:space="preserve">Associate 1</x:t>
        </x:is>
      </x:c>
      <x:c r="AH6" s="5" t="inlineStr">
        <x:is>
          <x:t xml:space="preserve">Manager 1</x:t>
        </x:is>
      </x:c>
      <x:c r="AI6" s="5" t="inlineStr">
        <x:is>
          <x:t xml:space="preserve">Partner 1</x:t>
        </x:is>
      </x:c>
      <x:c r="AJ6" s="24" t="n">
        <x:v>46116.375</x:v>
      </x:c>
    </x:row>
    <x:row r="7" ht="20" customHeight="1">
      <x:c r="A7" s="5" t="inlineStr">
        <x:is>
          <x:t xml:space="preserve">110301</x:t>
        </x:is>
      </x:c>
      <x:c r="B7" s="5" t="inlineStr">
        <x:is>
          <x:t xml:space="preserve">1103</x:t>
        </x:is>
      </x:c>
      <x:c r="C7" s="5" t="inlineStr">
        <x:is>
          <x:t xml:space="preserve">Plant &amp; Machinery</x:t>
        </x:is>
      </x:c>
      <x:c r="D7" s="5" t="inlineStr">
        <x:is>
          <x:t xml:space="preserve">Non-Current Assets</x:t>
        </x:is>
      </x:c>
      <x:c r="E7" s="5" t="inlineStr">
        <x:is>
          <x:t xml:space="preserve">Property, Plant &amp; Equipment</x:t>
        </x:is>
      </x:c>
      <x:c r="F7" s="5" t="inlineStr">
        <x:is>
          <x:t xml:space="preserve">Asset</x:t>
        </x:is>
      </x:c>
      <x:c r="G7" s="5" t="inlineStr">
        <x:is>
          <x:t xml:space="preserve">Debit</x:t>
        </x:is>
      </x:c>
      <x:c r="H7" s="5" t="inlineStr">
        <x:is>
          <x:t xml:space="preserve">Manufacturing</x:t>
        </x:is>
      </x:c>
      <x:c r="I7" s="5" t="inlineStr">
        <x:is>
          <x:t xml:space="preserve">Private Limited,Public Unlisted,Listed</x:t>
        </x:is>
      </x:c>
      <x:c r="J7" s="5" t="inlineStr">
        <x:is>
          <x:t xml:space="preserve">IAS 16</x:t>
        </x:is>
      </x:c>
      <x:c r="K7" s="5" t="inlineStr">
        <x:is>
          <x:t xml:space="preserve">Capital</x:t>
        </x:is>
      </x:c>
      <x:c r="L7" s="5" t="inlineStr">
        <x:is>
          <x:t xml:space="preserve">No</x:t>
        </x:is>
      </x:c>
      <x:c r="M7" s="5" t="inlineStr">
        <x:is>
          <x:t xml:space="preserve">No</x:t>
        </x:is>
      </x:c>
      <x:c r="N7" s="10" t="n">
        <x:v>0</x:v>
      </x:c>
      <x:c r="O7" s="12">
        <x:f>IF(A7="","",SUMIFS(Journal_Import!$S:$S,Journal_Import!$I:$I,A7))</x:f>
        <x:v>0</x:v>
      </x:c>
      <x:c r="P7" s="12">
        <x:f>IF(A7="","",SUMIFS(Journal_Import!$T:$T,Journal_Import!$I:$I,A7))</x:f>
        <x:v>0</x:v>
      </x:c>
      <x:c r="Q7" s="12">
        <x:f>IF(A7="","",IF(G7="Debit",N7+O7-P7,N7-O7+P7))</x:f>
        <x:v>0</x:v>
      </x:c>
      <x:c r="R7" s="10" t="n">
        <x:v>0</x:v>
      </x:c>
      <x:c r="S7" s="12">
        <x:f>IF(A7="","",Q7-R7)</x:f>
        <x:v>0</x:v>
      </x:c>
      <x:c r="T7" s="5" t="inlineStr">
        <x:is>
          <x:t xml:space="preserve">High</x:t>
        </x:is>
      </x:c>
      <x:c r="U7" s="5" t="inlineStr">
        <x:is>
          <x:t xml:space="preserve">High</x:t>
        </x:is>
      </x:c>
      <x:c r="V7" s="5" t="inlineStr">
        <x:is>
          <x:t xml:space="preserve">Existence,Valuation</x:t>
        </x:is>
      </x:c>
      <x:c r="W7" s="5" t="inlineStr">
        <x:is>
          <x:t xml:space="preserve">No</x:t>
        </x:is>
      </x:c>
      <x:c r="X7" s="5" t="inlineStr">
        <x:is>
          <x:t xml:space="preserve">Investing</x:t>
        </x:is>
      </x:c>
      <x:c r="Y7" s="5" t="inlineStr">
        <x:is>
          <x:t xml:space="preserve">GL-110301</x:t>
        </x:is>
      </x:c>
      <x:c r="Z7" s="5" t="inlineStr">
        <x:is>
          <x:t xml:space="preserve">Plant &amp; Machinery</x:t>
        </x:is>
      </x:c>
      <x:c r="AA7" s="5" t="inlineStr">
        <x:is>
          <x:t xml:space="preserve">FA-01</x:t>
        </x:is>
      </x:c>
      <x:c r="AB7" s="5" t="inlineStr">
        <x:is>
          <x:t xml:space="preserve">Yes</x:t>
        </x:is>
      </x:c>
      <x:c r="AC7" s="5" t="inlineStr">
        <x:is>
          <x:t xml:space="preserve">Imported</x:t>
        </x:is>
      </x:c>
      <x:c r="AD7" s="10" t="n">
        <x:v>100</x:v>
      </x:c>
      <x:c r="AE7" s="5" t="inlineStr">
        <x:is>
          <x:t xml:space="preserve">No</x:t>
        </x:is>
      </x:c>
      <x:c r="AF7" s="5" t="inlineStr">
        <x:is>
          <x:t xml:space="preserve"/>
        </x:is>
      </x:c>
      <x:c r="AG7" s="5" t="inlineStr">
        <x:is>
          <x:t xml:space="preserve">Associate 1</x:t>
        </x:is>
      </x:c>
      <x:c r="AH7" s="5" t="inlineStr">
        <x:is>
          <x:t xml:space="preserve">Manager 1</x:t>
        </x:is>
      </x:c>
      <x:c r="AI7" s="5" t="inlineStr">
        <x:is>
          <x:t xml:space="preserve">Partner 1</x:t>
        </x:is>
      </x:c>
      <x:c r="AJ7" s="24" t="n">
        <x:v>46116.375</x:v>
      </x:c>
    </x:row>
    <x:row r="8" ht="20" customHeight="1">
      <x:c r="A8" s="5" t="inlineStr">
        <x:is>
          <x:t xml:space="preserve">120201</x:t>
        </x:is>
      </x:c>
      <x:c r="B8" s="5" t="inlineStr">
        <x:is>
          <x:t xml:space="preserve">1202</x:t>
        </x:is>
      </x:c>
      <x:c r="C8" s="5" t="inlineStr">
        <x:is>
          <x:t xml:space="preserve">Software</x:t>
        </x:is>
      </x:c>
      <x:c r="D8" s="5" t="inlineStr">
        <x:is>
          <x:t xml:space="preserve">Non-Current Assets</x:t>
        </x:is>
      </x:c>
      <x:c r="E8" s="5" t="inlineStr">
        <x:is>
          <x:t xml:space="preserve">Intangible Assets</x:t>
        </x:is>
      </x:c>
      <x:c r="F8" s="5" t="inlineStr">
        <x:is>
          <x:t xml:space="preserve">Asset</x:t>
        </x:is>
      </x:c>
      <x:c r="G8" s="5" t="inlineStr">
        <x:is>
          <x:t xml:space="preserve">Debit</x:t>
        </x:is>
      </x:c>
      <x:c r="H8" s="5" t="inlineStr">
        <x:is>
          <x:t xml:space="preserve">All</x:t>
        </x:is>
      </x:c>
      <x:c r="I8" s="5" t="inlineStr">
        <x:is>
          <x:t xml:space="preserve">All</x:t>
        </x:is>
      </x:c>
      <x:c r="J8" s="5" t="inlineStr">
        <x:is>
          <x:t xml:space="preserve">IAS 38</x:t>
        </x:is>
      </x:c>
      <x:c r="K8" s="5" t="inlineStr">
        <x:is>
          <x:t xml:space="preserve">Capital</x:t>
        </x:is>
      </x:c>
      <x:c r="L8" s="5" t="inlineStr">
        <x:is>
          <x:t xml:space="preserve">No</x:t>
        </x:is>
      </x:c>
      <x:c r="M8" s="5" t="inlineStr">
        <x:is>
          <x:t xml:space="preserve">No</x:t>
        </x:is>
      </x:c>
      <x:c r="N8" s="10" t="n">
        <x:v>0</x:v>
      </x:c>
      <x:c r="O8" s="12">
        <x:f>IF(A8="","",SUMIFS(Journal_Import!$S:$S,Journal_Import!$I:$I,A8))</x:f>
        <x:v>0</x:v>
      </x:c>
      <x:c r="P8" s="12">
        <x:f>IF(A8="","",SUMIFS(Journal_Import!$T:$T,Journal_Import!$I:$I,A8))</x:f>
        <x:v>0</x:v>
      </x:c>
      <x:c r="Q8" s="12">
        <x:f>IF(A8="","",IF(G8="Debit",N8+O8-P8,N8-O8+P8))</x:f>
        <x:v>0</x:v>
      </x:c>
      <x:c r="R8" s="10" t="n">
        <x:v>0</x:v>
      </x:c>
      <x:c r="S8" s="12">
        <x:f>IF(A8="","",Q8-R8)</x:f>
        <x:v>0</x:v>
      </x:c>
      <x:c r="T8" s="5" t="inlineStr">
        <x:is>
          <x:t xml:space="preserve">Low</x:t>
        </x:is>
      </x:c>
      <x:c r="U8" s="5" t="inlineStr">
        <x:is>
          <x:t xml:space="preserve">Low</x:t>
        </x:is>
      </x:c>
      <x:c r="V8" s="5" t="inlineStr">
        <x:is>
          <x:t xml:space="preserve">Existence,Valuation</x:t>
        </x:is>
      </x:c>
      <x:c r="W8" s="5" t="inlineStr">
        <x:is>
          <x:t xml:space="preserve">No</x:t>
        </x:is>
      </x:c>
      <x:c r="X8" s="5" t="inlineStr">
        <x:is>
          <x:t xml:space="preserve">Investing</x:t>
        </x:is>
      </x:c>
      <x:c r="Y8" s="5" t="inlineStr">
        <x:is>
          <x:t xml:space="preserve">GL-120201</x:t>
        </x:is>
      </x:c>
      <x:c r="Z8" s="5" t="inlineStr">
        <x:is>
          <x:t xml:space="preserve">Software</x:t>
        </x:is>
      </x:c>
      <x:c r="AA8" s="5" t="inlineStr">
        <x:is>
          <x:t xml:space="preserve">FA-02</x:t>
        </x:is>
      </x:c>
      <x:c r="AB8" s="5" t="inlineStr">
        <x:is>
          <x:t xml:space="preserve">Yes</x:t>
        </x:is>
      </x:c>
      <x:c r="AC8" s="5" t="inlineStr">
        <x:is>
          <x:t xml:space="preserve">Imported</x:t>
        </x:is>
      </x:c>
      <x:c r="AD8" s="10" t="n">
        <x:v>100</x:v>
      </x:c>
      <x:c r="AE8" s="5" t="inlineStr">
        <x:is>
          <x:t xml:space="preserve">No</x:t>
        </x:is>
      </x:c>
      <x:c r="AF8" s="5" t="inlineStr">
        <x:is>
          <x:t xml:space="preserve"/>
        </x:is>
      </x:c>
      <x:c r="AG8" s="5" t="inlineStr">
        <x:is>
          <x:t xml:space="preserve">Associate 1</x:t>
        </x:is>
      </x:c>
      <x:c r="AH8" s="5" t="inlineStr">
        <x:is>
          <x:t xml:space="preserve">Manager 1</x:t>
        </x:is>
      </x:c>
      <x:c r="AI8" s="5" t="inlineStr">
        <x:is>
          <x:t xml:space="preserve">Partner 1</x:t>
        </x:is>
      </x:c>
      <x:c r="AJ8" s="24" t="n">
        <x:v>46116.375</x:v>
      </x:c>
    </x:row>
    <x:row r="9" ht="20" customHeight="1">
      <x:c r="A9" s="5" t="inlineStr">
        <x:is>
          <x:t xml:space="preserve">140201</x:t>
        </x:is>
      </x:c>
      <x:c r="B9" s="5" t="inlineStr">
        <x:is>
          <x:t xml:space="preserve">1402</x:t>
        </x:is>
      </x:c>
      <x:c r="C9" s="5" t="inlineStr">
        <x:is>
          <x:t xml:space="preserve">Security Deposits</x:t>
        </x:is>
      </x:c>
      <x:c r="D9" s="5" t="inlineStr">
        <x:is>
          <x:t xml:space="preserve">Non-Current Assets</x:t>
        </x:is>
      </x:c>
      <x:c r="E9" s="5" t="inlineStr">
        <x:is>
          <x:t xml:space="preserve">Long-Term Receivables</x:t>
        </x:is>
      </x:c>
      <x:c r="F9" s="5" t="inlineStr">
        <x:is>
          <x:t xml:space="preserve">Asset</x:t>
        </x:is>
      </x:c>
      <x:c r="G9" s="5" t="inlineStr">
        <x:is>
          <x:t xml:space="preserve">Debit</x:t>
        </x:is>
      </x:c>
      <x:c r="H9" s="5" t="inlineStr">
        <x:is>
          <x:t xml:space="preserve">All</x:t>
        </x:is>
      </x:c>
      <x:c r="I9" s="5" t="inlineStr">
        <x:is>
          <x:t xml:space="preserve">All</x:t>
        </x:is>
      </x:c>
      <x:c r="J9" s="5" t="inlineStr">
        <x:is>
          <x:t xml:space="preserve">IFRS 9</x:t>
        </x:is>
      </x:c>
      <x:c r="K9" s="5" t="inlineStr">
        <x:is>
          <x:t xml:space="preserve">Normal</x:t>
        </x:is>
      </x:c>
      <x:c r="L9" s="5" t="inlineStr">
        <x:is>
          <x:t xml:space="preserve">No</x:t>
        </x:is>
      </x:c>
      <x:c r="M9" s="5" t="inlineStr">
        <x:is>
          <x:t xml:space="preserve">Yes</x:t>
        </x:is>
      </x:c>
      <x:c r="N9" s="10" t="n">
        <x:v>0</x:v>
      </x:c>
      <x:c r="O9" s="12">
        <x:f>IF(A9="","",SUMIFS(Journal_Import!$S:$S,Journal_Import!$I:$I,A9))</x:f>
        <x:v>0</x:v>
      </x:c>
      <x:c r="P9" s="12">
        <x:f>IF(A9="","",SUMIFS(Journal_Import!$T:$T,Journal_Import!$I:$I,A9))</x:f>
        <x:v>0</x:v>
      </x:c>
      <x:c r="Q9" s="12">
        <x:f>IF(A9="","",IF(G9="Debit",N9+O9-P9,N9-O9+P9))</x:f>
        <x:v>0</x:v>
      </x:c>
      <x:c r="R9" s="10" t="n">
        <x:v>0</x:v>
      </x:c>
      <x:c r="S9" s="12">
        <x:f>IF(A9="","",Q9-R9)</x:f>
        <x:v>0</x:v>
      </x:c>
      <x:c r="T9" s="5" t="inlineStr">
        <x:is>
          <x:t xml:space="preserve">Low</x:t>
        </x:is>
      </x:c>
      <x:c r="U9" s="5" t="inlineStr">
        <x:is>
          <x:t xml:space="preserve">Low</x:t>
        </x:is>
      </x:c>
      <x:c r="V9" s="5" t="inlineStr">
        <x:is>
          <x:t xml:space="preserve">Existence,Valuation</x:t>
        </x:is>
      </x:c>
      <x:c r="W9" s="5" t="inlineStr">
        <x:is>
          <x:t xml:space="preserve">No</x:t>
        </x:is>
      </x:c>
      <x:c r="X9" s="5" t="inlineStr">
        <x:is>
          <x:t xml:space="preserve">Operating</x:t>
        </x:is>
      </x:c>
      <x:c r="Y9" s="5" t="inlineStr">
        <x:is>
          <x:t xml:space="preserve">GL-140201</x:t>
        </x:is>
      </x:c>
      <x:c r="Z9" s="5" t="inlineStr">
        <x:is>
          <x:t xml:space="preserve">Security Deposits</x:t>
        </x:is>
      </x:c>
      <x:c r="AA9" s="5" t="inlineStr">
        <x:is>
          <x:t xml:space="preserve">A-03</x:t>
        </x:is>
      </x:c>
      <x:c r="AB9" s="5" t="inlineStr">
        <x:is>
          <x:t xml:space="preserve">Yes</x:t>
        </x:is>
      </x:c>
      <x:c r="AC9" s="5" t="inlineStr">
        <x:is>
          <x:t xml:space="preserve">Imported</x:t>
        </x:is>
      </x:c>
      <x:c r="AD9" s="10" t="n">
        <x:v>100</x:v>
      </x:c>
      <x:c r="AE9" s="5" t="inlineStr">
        <x:is>
          <x:t xml:space="preserve">No</x:t>
        </x:is>
      </x:c>
      <x:c r="AF9" s="5" t="inlineStr">
        <x:is>
          <x:t xml:space="preserve"/>
        </x:is>
      </x:c>
      <x:c r="AG9" s="5" t="inlineStr">
        <x:is>
          <x:t xml:space="preserve">Associate 1</x:t>
        </x:is>
      </x:c>
      <x:c r="AH9" s="5" t="inlineStr">
        <x:is>
          <x:t xml:space="preserve">Manager 1</x:t>
        </x:is>
      </x:c>
      <x:c r="AI9" s="5" t="inlineStr">
        <x:is>
          <x:t xml:space="preserve">Partner 1</x:t>
        </x:is>
      </x:c>
      <x:c r="AJ9" s="24" t="n">
        <x:v>46116.375</x:v>
      </x:c>
    </x:row>
    <x:row r="10" ht="20" customHeight="1">
      <x:c r="A10" s="5" t="inlineStr">
        <x:is>
          <x:t xml:space="preserve">151101</x:t>
        </x:is>
      </x:c>
      <x:c r="B10" s="5" t="inlineStr">
        <x:is>
          <x:t xml:space="preserve">1511</x:t>
        </x:is>
      </x:c>
      <x:c r="C10" s="5" t="inlineStr">
        <x:is>
          <x:t xml:space="preserve">Raw Material</x:t>
        </x:is>
      </x:c>
      <x:c r="D10" s="5" t="inlineStr">
        <x:is>
          <x:t xml:space="preserve">Current Assets</x:t>
        </x:is>
      </x:c>
      <x:c r="E10" s="5" t="inlineStr">
        <x:is>
          <x:t xml:space="preserve">Inventory</x:t>
        </x:is>
      </x:c>
      <x:c r="F10" s="5" t="inlineStr">
        <x:is>
          <x:t xml:space="preserve">Asset</x:t>
        </x:is>
      </x:c>
      <x:c r="G10" s="5" t="inlineStr">
        <x:is>
          <x:t xml:space="preserve">Debit</x:t>
        </x:is>
      </x:c>
      <x:c r="H10" s="5" t="inlineStr">
        <x:is>
          <x:t xml:space="preserve">Manufacturing</x:t>
        </x:is>
      </x:c>
      <x:c r="I10" s="5" t="inlineStr">
        <x:is>
          <x:t xml:space="preserve">Private Limited,Public Unlisted,Listed</x:t>
        </x:is>
      </x:c>
      <x:c r="J10" s="5" t="inlineStr">
        <x:is>
          <x:t xml:space="preserve">IAS 2</x:t>
        </x:is>
      </x:c>
      <x:c r="K10" s="5" t="inlineStr">
        <x:is>
          <x:t xml:space="preserve">Normal</x:t>
        </x:is>
      </x:c>
      <x:c r="L10" s="5" t="inlineStr">
        <x:is>
          <x:t xml:space="preserve">Yes</x:t>
        </x:is>
      </x:c>
      <x:c r="M10" s="5" t="inlineStr">
        <x:is>
          <x:t xml:space="preserve">Yes</x:t>
        </x:is>
      </x:c>
      <x:c r="N10" s="10" t="n">
        <x:v>2000000</x:v>
      </x:c>
      <x:c r="O10" s="12">
        <x:f>IF(A10="","",SUMIFS(Journal_Import!$S:$S,Journal_Import!$I:$I,A10))</x:f>
        <x:v>400000</x:v>
      </x:c>
      <x:c r="P10" s="12">
        <x:f>IF(A10="","",SUMIFS(Journal_Import!$T:$T,Journal_Import!$I:$I,A10))</x:f>
        <x:v>0</x:v>
      </x:c>
      <x:c r="Q10" s="12">
        <x:f>IF(A10="","",IF(G10="Debit",N10+O10-P10,N10-O10+P10))</x:f>
        <x:v>2400000</x:v>
      </x:c>
      <x:c r="R10" s="10" t="n">
        <x:v>1800000</x:v>
      </x:c>
      <x:c r="S10" s="12">
        <x:f>IF(A10="","",Q10-R10)</x:f>
        <x:v>600000</x:v>
      </x:c>
      <x:c r="T10" s="5" t="inlineStr">
        <x:is>
          <x:t xml:space="preserve">High</x:t>
        </x:is>
      </x:c>
      <x:c r="U10" s="5" t="inlineStr">
        <x:is>
          <x:t xml:space="preserve">High</x:t>
        </x:is>
      </x:c>
      <x:c r="V10" s="5" t="inlineStr">
        <x:is>
          <x:t xml:space="preserve">Existence,Completeness,Valuation</x:t>
        </x:is>
      </x:c>
      <x:c r="W10" s="5" t="inlineStr">
        <x:is>
          <x:t xml:space="preserve">No</x:t>
        </x:is>
      </x:c>
      <x:c r="X10" s="5" t="inlineStr">
        <x:is>
          <x:t xml:space="preserve">Operating</x:t>
        </x:is>
      </x:c>
      <x:c r="Y10" s="5" t="inlineStr">
        <x:is>
          <x:t xml:space="preserve">GL-151101</x:t>
        </x:is>
      </x:c>
      <x:c r="Z10" s="5" t="inlineStr">
        <x:is>
          <x:t xml:space="preserve">Raw Material</x:t>
        </x:is>
      </x:c>
      <x:c r="AA10" s="5" t="inlineStr">
        <x:is>
          <x:t xml:space="preserve">INV-01</x:t>
        </x:is>
      </x:c>
      <x:c r="AB10" s="5" t="inlineStr">
        <x:is>
          <x:t xml:space="preserve">Yes</x:t>
        </x:is>
      </x:c>
      <x:c r="AC10" s="5" t="inlineStr">
        <x:is>
          <x:t xml:space="preserve">Imported</x:t>
        </x:is>
      </x:c>
      <x:c r="AD10" s="10" t="n">
        <x:v>99</x:v>
      </x:c>
      <x:c r="AE10" s="5" t="inlineStr">
        <x:is>
          <x:t xml:space="preserve">No</x:t>
        </x:is>
      </x:c>
      <x:c r="AF10" s="5" t="inlineStr">
        <x:is>
          <x:t xml:space="preserve"/>
        </x:is>
      </x:c>
      <x:c r="AG10" s="5" t="inlineStr">
        <x:is>
          <x:t xml:space="preserve">Associate 1</x:t>
        </x:is>
      </x:c>
      <x:c r="AH10" s="5" t="inlineStr">
        <x:is>
          <x:t xml:space="preserve">Manager 1</x:t>
        </x:is>
      </x:c>
      <x:c r="AI10" s="5" t="inlineStr">
        <x:is>
          <x:t xml:space="preserve">Partner 1</x:t>
        </x:is>
      </x:c>
      <x:c r="AJ10" s="24" t="n">
        <x:v>46116.375</x:v>
      </x:c>
    </x:row>
    <x:row r="11" ht="20" customHeight="1">
      <x:c r="A11" s="5" t="inlineStr">
        <x:is>
          <x:t xml:space="preserve">151301</x:t>
        </x:is>
      </x:c>
      <x:c r="B11" s="5" t="inlineStr">
        <x:is>
          <x:t xml:space="preserve">1513</x:t>
        </x:is>
      </x:c>
      <x:c r="C11" s="5" t="inlineStr">
        <x:is>
          <x:t xml:space="preserve">Finished Goods</x:t>
        </x:is>
      </x:c>
      <x:c r="D11" s="5" t="inlineStr">
        <x:is>
          <x:t xml:space="preserve">Current Assets</x:t>
        </x:is>
      </x:c>
      <x:c r="E11" s="5" t="inlineStr">
        <x:is>
          <x:t xml:space="preserve">Inventory</x:t>
        </x:is>
      </x:c>
      <x:c r="F11" s="5" t="inlineStr">
        <x:is>
          <x:t xml:space="preserve">Asset</x:t>
        </x:is>
      </x:c>
      <x:c r="G11" s="5" t="inlineStr">
        <x:is>
          <x:t xml:space="preserve">Debit</x:t>
        </x:is>
      </x:c>
      <x:c r="H11" s="5" t="inlineStr">
        <x:is>
          <x:t xml:space="preserve">Manufacturing,Trading</x:t>
        </x:is>
      </x:c>
      <x:c r="I11" s="5" t="inlineStr">
        <x:is>
          <x:t xml:space="preserve">Private Limited,Public Unlisted,Listed</x:t>
        </x:is>
      </x:c>
      <x:c r="J11" s="5" t="inlineStr">
        <x:is>
          <x:t xml:space="preserve">IAS 2</x:t>
        </x:is>
      </x:c>
      <x:c r="K11" s="5" t="inlineStr">
        <x:is>
          <x:t xml:space="preserve">Normal</x:t>
        </x:is>
      </x:c>
      <x:c r="L11" s="5" t="inlineStr">
        <x:is>
          <x:t xml:space="preserve">Yes</x:t>
        </x:is>
      </x:c>
      <x:c r="M11" s="5" t="inlineStr">
        <x:is>
          <x:t xml:space="preserve">Yes</x:t>
        </x:is>
      </x:c>
      <x:c r="N11" s="10" t="n">
        <x:v>1500000</x:v>
      </x:c>
      <x:c r="O11" s="12">
        <x:f>IF(A11="","",SUMIFS(Journal_Import!$S:$S,Journal_Import!$I:$I,A11))</x:f>
        <x:v>0</x:v>
      </x:c>
      <x:c r="P11" s="12">
        <x:f>IF(A11="","",SUMIFS(Journal_Import!$T:$T,Journal_Import!$I:$I,A11))</x:f>
        <x:v>0</x:v>
      </x:c>
      <x:c r="Q11" s="12">
        <x:f>IF(A11="","",IF(G11="Debit",N11+O11-P11,N11-O11+P11))</x:f>
        <x:v>1500000</x:v>
      </x:c>
      <x:c r="R11" s="10" t="n">
        <x:v>1200000</x:v>
      </x:c>
      <x:c r="S11" s="12">
        <x:f>IF(A11="","",Q11-R11)</x:f>
        <x:v>300000</x:v>
      </x:c>
      <x:c r="T11" s="5" t="inlineStr">
        <x:is>
          <x:t xml:space="preserve">High</x:t>
        </x:is>
      </x:c>
      <x:c r="U11" s="5" t="inlineStr">
        <x:is>
          <x:t xml:space="preserve">High</x:t>
        </x:is>
      </x:c>
      <x:c r="V11" s="5" t="inlineStr">
        <x:is>
          <x:t xml:space="preserve">Existence,Completeness,Valuation</x:t>
        </x:is>
      </x:c>
      <x:c r="W11" s="5" t="inlineStr">
        <x:is>
          <x:t xml:space="preserve">No</x:t>
        </x:is>
      </x:c>
      <x:c r="X11" s="5" t="inlineStr">
        <x:is>
          <x:t xml:space="preserve">Operating</x:t>
        </x:is>
      </x:c>
      <x:c r="Y11" s="5" t="inlineStr">
        <x:is>
          <x:t xml:space="preserve">GL-151301</x:t>
        </x:is>
      </x:c>
      <x:c r="Z11" s="5" t="inlineStr">
        <x:is>
          <x:t xml:space="preserve">Finished Goods</x:t>
        </x:is>
      </x:c>
      <x:c r="AA11" s="5" t="inlineStr">
        <x:is>
          <x:t xml:space="preserve">INV-02</x:t>
        </x:is>
      </x:c>
      <x:c r="AB11" s="5" t="inlineStr">
        <x:is>
          <x:t xml:space="preserve">Yes</x:t>
        </x:is>
      </x:c>
      <x:c r="AC11" s="5" t="inlineStr">
        <x:is>
          <x:t xml:space="preserve">Imported</x:t>
        </x:is>
      </x:c>
      <x:c r="AD11" s="10" t="n">
        <x:v>99</x:v>
      </x:c>
      <x:c r="AE11" s="5" t="inlineStr">
        <x:is>
          <x:t xml:space="preserve">No</x:t>
        </x:is>
      </x:c>
      <x:c r="AF11" s="5" t="inlineStr">
        <x:is>
          <x:t xml:space="preserve"/>
        </x:is>
      </x:c>
      <x:c r="AG11" s="5" t="inlineStr">
        <x:is>
          <x:t xml:space="preserve">Associate 1</x:t>
        </x:is>
      </x:c>
      <x:c r="AH11" s="5" t="inlineStr">
        <x:is>
          <x:t xml:space="preserve">Manager 1</x:t>
        </x:is>
      </x:c>
      <x:c r="AI11" s="5" t="inlineStr">
        <x:is>
          <x:t xml:space="preserve">Partner 1</x:t>
        </x:is>
      </x:c>
      <x:c r="AJ11" s="24" t="n">
        <x:v>46116.375</x:v>
      </x:c>
    </x:row>
    <x:row r="12" ht="20" customHeight="1">
      <x:c r="A12" s="5" t="inlineStr">
        <x:is>
          <x:t xml:space="preserve">152101</x:t>
        </x:is>
      </x:c>
      <x:c r="B12" s="5" t="inlineStr">
        <x:is>
          <x:t xml:space="preserve">1520</x:t>
        </x:is>
      </x:c>
      <x:c r="C12" s="5" t="inlineStr">
        <x:is>
          <x:t xml:space="preserve">Trade Debtors</x:t>
        </x:is>
      </x:c>
      <x:c r="D12" s="5" t="inlineStr">
        <x:is>
          <x:t xml:space="preserve">Current Assets</x:t>
        </x:is>
      </x:c>
      <x:c r="E12" s="5" t="inlineStr">
        <x:is>
          <x:t xml:space="preserve">Receivables</x:t>
        </x:is>
      </x:c>
      <x:c r="F12" s="5" t="inlineStr">
        <x:is>
          <x:t xml:space="preserve">Asset</x:t>
        </x:is>
      </x:c>
      <x:c r="G12" s="5" t="inlineStr">
        <x:is>
          <x:t xml:space="preserve">Debit</x:t>
        </x:is>
      </x:c>
      <x:c r="H12" s="5" t="inlineStr">
        <x:is>
          <x:t xml:space="preserve">All</x:t>
        </x:is>
      </x:c>
      <x:c r="I12" s="5" t="inlineStr">
        <x:is>
          <x:t xml:space="preserve">All</x:t>
        </x:is>
      </x:c>
      <x:c r="J12" s="5" t="inlineStr">
        <x:is>
          <x:t xml:space="preserve">IFRS 9</x:t>
        </x:is>
      </x:c>
      <x:c r="K12" s="5" t="inlineStr">
        <x:is>
          <x:t xml:space="preserve">Normal</x:t>
        </x:is>
      </x:c>
      <x:c r="L12" s="5" t="inlineStr">
        <x:is>
          <x:t xml:space="preserve">Yes</x:t>
        </x:is>
      </x:c>
      <x:c r="M12" s="5" t="inlineStr">
        <x:is>
          <x:t xml:space="preserve">Yes</x:t>
        </x:is>
      </x:c>
      <x:c r="N12" s="10" t="n">
        <x:v>1500000</x:v>
      </x:c>
      <x:c r="O12" s="12">
        <x:f>IF(A12="","",SUMIFS(Journal_Import!$S:$S,Journal_Import!$I:$I,A12))</x:f>
        <x:v>500000</x:v>
      </x:c>
      <x:c r="P12" s="12">
        <x:f>IF(A12="","",SUMIFS(Journal_Import!$T:$T,Journal_Import!$I:$I,A12))</x:f>
        <x:v>300000</x:v>
      </x:c>
      <x:c r="Q12" s="12">
        <x:f>IF(A12="","",IF(G12="Debit",N12+O12-P12,N12-O12+P12))</x:f>
        <x:v>1700000</x:v>
      </x:c>
      <x:c r="R12" s="10" t="n">
        <x:v>1300000</x:v>
      </x:c>
      <x:c r="S12" s="12">
        <x:f>IF(A12="","",Q12-R12)</x:f>
        <x:v>400000</x:v>
      </x:c>
      <x:c r="T12" s="5" t="inlineStr">
        <x:is>
          <x:t xml:space="preserve">High</x:t>
        </x:is>
      </x:c>
      <x:c r="U12" s="5" t="inlineStr">
        <x:is>
          <x:t xml:space="preserve">High</x:t>
        </x:is>
      </x:c>
      <x:c r="V12" s="5" t="inlineStr">
        <x:is>
          <x:t xml:space="preserve">Existence,Valuation,Completeness</x:t>
        </x:is>
      </x:c>
      <x:c r="W12" s="5" t="inlineStr">
        <x:is>
          <x:t xml:space="preserve">Yes</x:t>
        </x:is>
      </x:c>
      <x:c r="X12" s="5" t="inlineStr">
        <x:is>
          <x:t xml:space="preserve">Operating</x:t>
        </x:is>
      </x:c>
      <x:c r="Y12" s="5" t="inlineStr">
        <x:is>
          <x:t xml:space="preserve">GL-152101</x:t>
        </x:is>
      </x:c>
      <x:c r="Z12" s="5" t="inlineStr">
        <x:is>
          <x:t xml:space="preserve">Trade Receivables</x:t>
        </x:is>
      </x:c>
      <x:c r="AA12" s="5" t="inlineStr">
        <x:is>
          <x:t xml:space="preserve">AR-01</x:t>
        </x:is>
      </x:c>
      <x:c r="AB12" s="5" t="inlineStr">
        <x:is>
          <x:t xml:space="preserve">Yes</x:t>
        </x:is>
      </x:c>
      <x:c r="AC12" s="5" t="inlineStr">
        <x:is>
          <x:t xml:space="preserve">Imported</x:t>
        </x:is>
      </x:c>
      <x:c r="AD12" s="10" t="n">
        <x:v>98</x:v>
      </x:c>
      <x:c r="AE12" s="5" t="inlineStr">
        <x:is>
          <x:t xml:space="preserve">No</x:t>
        </x:is>
      </x:c>
      <x:c r="AF12" s="5" t="inlineStr">
        <x:is>
          <x:t xml:space="preserve"/>
        </x:is>
      </x:c>
      <x:c r="AG12" s="5" t="inlineStr">
        <x:is>
          <x:t xml:space="preserve">Associate 1</x:t>
        </x:is>
      </x:c>
      <x:c r="AH12" s="5" t="inlineStr">
        <x:is>
          <x:t xml:space="preserve">Manager 1</x:t>
        </x:is>
      </x:c>
      <x:c r="AI12" s="5" t="inlineStr">
        <x:is>
          <x:t xml:space="preserve">Partner 1</x:t>
        </x:is>
      </x:c>
      <x:c r="AJ12" s="24" t="n">
        <x:v>46116.375</x:v>
      </x:c>
    </x:row>
    <x:row r="13" ht="20" customHeight="1">
      <x:c r="A13" s="5" t="inlineStr">
        <x:is>
          <x:t xml:space="preserve">153201</x:t>
        </x:is>
      </x:c>
      <x:c r="B13" s="5" t="inlineStr">
        <x:is>
          <x:t xml:space="preserve">1530</x:t>
        </x:is>
      </x:c>
      <x:c r="C13" s="5" t="inlineStr">
        <x:is>
          <x:t xml:space="preserve">Prepaid Expenses</x:t>
        </x:is>
      </x:c>
      <x:c r="D13" s="5" t="inlineStr">
        <x:is>
          <x:t xml:space="preserve">Current Assets</x:t>
        </x:is>
      </x:c>
      <x:c r="E13" s="5" t="inlineStr">
        <x:is>
          <x:t xml:space="preserve">Advances &amp; Prepayments</x:t>
        </x:is>
      </x:c>
      <x:c r="F13" s="5" t="inlineStr">
        <x:is>
          <x:t xml:space="preserve">Asset</x:t>
        </x:is>
      </x:c>
      <x:c r="G13" s="5" t="inlineStr">
        <x:is>
          <x:t xml:space="preserve">Debit</x:t>
        </x:is>
      </x:c>
      <x:c r="H13" s="5" t="inlineStr">
        <x:is>
          <x:t xml:space="preserve">All</x:t>
        </x:is>
      </x:c>
      <x:c r="I13" s="5" t="inlineStr">
        <x:is>
          <x:t xml:space="preserve">All</x:t>
        </x:is>
      </x:c>
      <x:c r="J13" s="5" t="inlineStr">
        <x:is>
          <x:t xml:space="preserve">IAS 1</x:t>
        </x:is>
      </x:c>
      <x:c r="K13" s="5" t="inlineStr">
        <x:is>
          <x:t xml:space="preserve">Normal</x:t>
        </x:is>
      </x:c>
      <x:c r="L13" s="5" t="inlineStr">
        <x:is>
          <x:t xml:space="preserve">No</x:t>
        </x:is>
      </x:c>
      <x:c r="M13" s="5" t="inlineStr">
        <x:is>
          <x:t xml:space="preserve">No</x:t>
        </x:is>
      </x:c>
      <x:c r="N13" s="10" t="n">
        <x:v>0</x:v>
      </x:c>
      <x:c r="O13" s="12">
        <x:f>IF(A13="","",SUMIFS(Journal_Import!$S:$S,Journal_Import!$I:$I,A13))</x:f>
        <x:v>0</x:v>
      </x:c>
      <x:c r="P13" s="12">
        <x:f>IF(A13="","",SUMIFS(Journal_Import!$T:$T,Journal_Import!$I:$I,A13))</x:f>
        <x:v>0</x:v>
      </x:c>
      <x:c r="Q13" s="12">
        <x:f>IF(A13="","",IF(G13="Debit",N13+O13-P13,N13-O13+P13))</x:f>
        <x:v>0</x:v>
      </x:c>
      <x:c r="R13" s="10" t="n">
        <x:v>0</x:v>
      </x:c>
      <x:c r="S13" s="12">
        <x:f>IF(A13="","",Q13-R13)</x:f>
        <x:v>0</x:v>
      </x:c>
      <x:c r="T13" s="5" t="inlineStr">
        <x:is>
          <x:t xml:space="preserve">Low</x:t>
        </x:is>
      </x:c>
      <x:c r="U13" s="5" t="inlineStr">
        <x:is>
          <x:t xml:space="preserve">Low</x:t>
        </x:is>
      </x:c>
      <x:c r="V13" s="5" t="inlineStr">
        <x:is>
          <x:t xml:space="preserve">Existence,Classification</x:t>
        </x:is>
      </x:c>
      <x:c r="W13" s="5" t="inlineStr">
        <x:is>
          <x:t xml:space="preserve">No</x:t>
        </x:is>
      </x:c>
      <x:c r="X13" s="5" t="inlineStr">
        <x:is>
          <x:t xml:space="preserve">Operating</x:t>
        </x:is>
      </x:c>
      <x:c r="Y13" s="5" t="inlineStr">
        <x:is>
          <x:t xml:space="preserve">GL-153201</x:t>
        </x:is>
      </x:c>
      <x:c r="Z13" s="5" t="inlineStr">
        <x:is>
          <x:t xml:space="preserve">Prepayments</x:t>
        </x:is>
      </x:c>
      <x:c r="AA13" s="5" t="inlineStr">
        <x:is>
          <x:t xml:space="preserve">A-04</x:t>
        </x:is>
      </x:c>
      <x:c r="AB13" s="5" t="inlineStr">
        <x:is>
          <x:t xml:space="preserve">Yes</x:t>
        </x:is>
      </x:c>
      <x:c r="AC13" s="5" t="inlineStr">
        <x:is>
          <x:t xml:space="preserve">Imported</x:t>
        </x:is>
      </x:c>
      <x:c r="AD13" s="10" t="n">
        <x:v>100</x:v>
      </x:c>
      <x:c r="AE13" s="5" t="inlineStr">
        <x:is>
          <x:t xml:space="preserve">No</x:t>
        </x:is>
      </x:c>
      <x:c r="AF13" s="5" t="inlineStr">
        <x:is>
          <x:t xml:space="preserve"/>
        </x:is>
      </x:c>
      <x:c r="AG13" s="5" t="inlineStr">
        <x:is>
          <x:t xml:space="preserve">Associate 1</x:t>
        </x:is>
      </x:c>
      <x:c r="AH13" s="5" t="inlineStr">
        <x:is>
          <x:t xml:space="preserve">Manager 1</x:t>
        </x:is>
      </x:c>
      <x:c r="AI13" s="5" t="inlineStr">
        <x:is>
          <x:t xml:space="preserve">Partner 1</x:t>
        </x:is>
      </x:c>
      <x:c r="AJ13" s="24" t="n">
        <x:v>46116.375</x:v>
      </x:c>
    </x:row>
    <x:row r="14" ht="20" customHeight="1">
      <x:c r="A14" s="5" t="inlineStr">
        <x:is>
          <x:t xml:space="preserve">154101</x:t>
        </x:is>
      </x:c>
      <x:c r="B14" s="5" t="inlineStr">
        <x:is>
          <x:t xml:space="preserve">1540</x:t>
        </x:is>
      </x:c>
      <x:c r="C14" s="5" t="inlineStr">
        <x:is>
          <x:t xml:space="preserve">Cash in Hand</x:t>
        </x:is>
      </x:c>
      <x:c r="D14" s="5" t="inlineStr">
        <x:is>
          <x:t xml:space="preserve">Current Assets</x:t>
        </x:is>
      </x:c>
      <x:c r="E14" s="5" t="inlineStr">
        <x:is>
          <x:t xml:space="preserve">Cash &amp; Bank</x:t>
        </x:is>
      </x:c>
      <x:c r="F14" s="5" t="inlineStr">
        <x:is>
          <x:t xml:space="preserve">Asset</x:t>
        </x:is>
      </x:c>
      <x:c r="G14" s="5" t="inlineStr">
        <x:is>
          <x:t xml:space="preserve">Debit</x:t>
        </x:is>
      </x:c>
      <x:c r="H14" s="5" t="inlineStr">
        <x:is>
          <x:t xml:space="preserve">All</x:t>
        </x:is>
      </x:c>
      <x:c r="I14" s="5" t="inlineStr">
        <x:is>
          <x:t xml:space="preserve">All</x:t>
        </x:is>
      </x:c>
      <x:c r="J14" s="5" t="inlineStr">
        <x:is>
          <x:t xml:space="preserve">IAS 7</x:t>
        </x:is>
      </x:c>
      <x:c r="K14" s="5" t="inlineStr">
        <x:is>
          <x:t xml:space="preserve">Normal</x:t>
        </x:is>
      </x:c>
      <x:c r="L14" s="5" t="inlineStr">
        <x:is>
          <x:t xml:space="preserve">Yes</x:t>
        </x:is>
      </x:c>
      <x:c r="M14" s="5" t="inlineStr">
        <x:is>
          <x:t xml:space="preserve">No</x:t>
        </x:is>
      </x:c>
      <x:c r="N14" s="10" t="n">
        <x:v>0</x:v>
      </x:c>
      <x:c r="O14" s="12">
        <x:f>IF(A14="","",SUMIFS(Journal_Import!$S:$S,Journal_Import!$I:$I,A14))</x:f>
        <x:v>0</x:v>
      </x:c>
      <x:c r="P14" s="12">
        <x:f>IF(A14="","",SUMIFS(Journal_Import!$T:$T,Journal_Import!$I:$I,A14))</x:f>
        <x:v>0</x:v>
      </x:c>
      <x:c r="Q14" s="12">
        <x:f>IF(A14="","",IF(G14="Debit",N14+O14-P14,N14-O14+P14))</x:f>
        <x:v>0</x:v>
      </x:c>
      <x:c r="R14" s="10" t="n">
        <x:v>0</x:v>
      </x:c>
      <x:c r="S14" s="12">
        <x:f>IF(A14="","",Q14-R14)</x:f>
        <x:v>0</x:v>
      </x:c>
      <x:c r="T14" s="5" t="inlineStr">
        <x:is>
          <x:t xml:space="preserve">Medium</x:t>
        </x:is>
      </x:c>
      <x:c r="U14" s="5" t="inlineStr">
        <x:is>
          <x:t xml:space="preserve">Medium</x:t>
        </x:is>
      </x:c>
      <x:c r="V14" s="5" t="inlineStr">
        <x:is>
          <x:t xml:space="preserve">Existence,Completeness</x:t>
        </x:is>
      </x:c>
      <x:c r="W14" s="5" t="inlineStr">
        <x:is>
          <x:t xml:space="preserve">No</x:t>
        </x:is>
      </x:c>
      <x:c r="X14" s="5" t="inlineStr">
        <x:is>
          <x:t xml:space="preserve">Operating</x:t>
        </x:is>
      </x:c>
      <x:c r="Y14" s="5" t="inlineStr">
        <x:is>
          <x:t xml:space="preserve">GL-154101</x:t>
        </x:is>
      </x:c>
      <x:c r="Z14" s="5" t="inlineStr">
        <x:is>
          <x:t xml:space="preserve">Cash in Hand</x:t>
        </x:is>
      </x:c>
      <x:c r="AA14" s="5" t="inlineStr">
        <x:is>
          <x:t xml:space="preserve">CASH-01</x:t>
        </x:is>
      </x:c>
      <x:c r="AB14" s="5" t="inlineStr">
        <x:is>
          <x:t xml:space="preserve">Yes</x:t>
        </x:is>
      </x:c>
      <x:c r="AC14" s="5" t="inlineStr">
        <x:is>
          <x:t xml:space="preserve">Imported</x:t>
        </x:is>
      </x:c>
      <x:c r="AD14" s="10" t="n">
        <x:v>100</x:v>
      </x:c>
      <x:c r="AE14" s="5" t="inlineStr">
        <x:is>
          <x:t xml:space="preserve">No</x:t>
        </x:is>
      </x:c>
      <x:c r="AF14" s="5" t="inlineStr">
        <x:is>
          <x:t xml:space="preserve"/>
        </x:is>
      </x:c>
      <x:c r="AG14" s="5" t="inlineStr">
        <x:is>
          <x:t xml:space="preserve">Associate 1</x:t>
        </x:is>
      </x:c>
      <x:c r="AH14" s="5" t="inlineStr">
        <x:is>
          <x:t xml:space="preserve">Manager 1</x:t>
        </x:is>
      </x:c>
      <x:c r="AI14" s="5" t="inlineStr">
        <x:is>
          <x:t xml:space="preserve">Partner 1</x:t>
        </x:is>
      </x:c>
      <x:c r="AJ14" s="24" t="n">
        <x:v>46116.375</x:v>
      </x:c>
    </x:row>
    <x:row r="15" ht="20" customHeight="1">
      <x:c r="A15" s="5" t="inlineStr">
        <x:is>
          <x:t xml:space="preserve">154201</x:t>
        </x:is>
      </x:c>
      <x:c r="B15" s="5" t="inlineStr">
        <x:is>
          <x:t xml:space="preserve">1540</x:t>
        </x:is>
      </x:c>
      <x:c r="C15" s="5" t="inlineStr">
        <x:is>
          <x:t xml:space="preserve">Cash at Bank</x:t>
        </x:is>
      </x:c>
      <x:c r="D15" s="5" t="inlineStr">
        <x:is>
          <x:t xml:space="preserve">Current Assets</x:t>
        </x:is>
      </x:c>
      <x:c r="E15" s="5" t="inlineStr">
        <x:is>
          <x:t xml:space="preserve">Cash &amp; Bank</x:t>
        </x:is>
      </x:c>
      <x:c r="F15" s="5" t="inlineStr">
        <x:is>
          <x:t xml:space="preserve">Asset</x:t>
        </x:is>
      </x:c>
      <x:c r="G15" s="5" t="inlineStr">
        <x:is>
          <x:t xml:space="preserve">Debit</x:t>
        </x:is>
      </x:c>
      <x:c r="H15" s="5" t="inlineStr">
        <x:is>
          <x:t xml:space="preserve">All</x:t>
        </x:is>
      </x:c>
      <x:c r="I15" s="5" t="inlineStr">
        <x:is>
          <x:t xml:space="preserve">All</x:t>
        </x:is>
      </x:c>
      <x:c r="J15" s="5" t="inlineStr">
        <x:is>
          <x:t xml:space="preserve">IAS 7</x:t>
        </x:is>
      </x:c>
      <x:c r="K15" s="5" t="inlineStr">
        <x:is>
          <x:t xml:space="preserve">Normal</x:t>
        </x:is>
      </x:c>
      <x:c r="L15" s="5" t="inlineStr">
        <x:is>
          <x:t xml:space="preserve">Yes</x:t>
        </x:is>
      </x:c>
      <x:c r="M15" s="5" t="inlineStr">
        <x:is>
          <x:t xml:space="preserve">Yes</x:t>
        </x:is>
      </x:c>
      <x:c r="N15" s="10" t="n">
        <x:v>2000000</x:v>
      </x:c>
      <x:c r="O15" s="12">
        <x:f>IF(A15="","",SUMIFS(Journal_Import!$S:$S,Journal_Import!$I:$I,A15))</x:f>
        <x:v>310000</x:v>
      </x:c>
      <x:c r="P15" s="12">
        <x:f>IF(A15="","",SUMIFS(Journal_Import!$T:$T,Journal_Import!$I:$I,A15))</x:f>
        <x:v>150000</x:v>
      </x:c>
      <x:c r="Q15" s="12">
        <x:f>IF(A15="","",IF(G15="Debit",N15+O15-P15,N15-O15+P15))</x:f>
        <x:v>2160000</x:v>
      </x:c>
      <x:c r="R15" s="10" t="n">
        <x:v>1700000</x:v>
      </x:c>
      <x:c r="S15" s="12">
        <x:f>IF(A15="","",Q15-R15)</x:f>
        <x:v>460000</x:v>
      </x:c>
      <x:c r="T15" s="5" t="inlineStr">
        <x:is>
          <x:t xml:space="preserve">High</x:t>
        </x:is>
      </x:c>
      <x:c r="U15" s="5" t="inlineStr">
        <x:is>
          <x:t xml:space="preserve">Medium</x:t>
        </x:is>
      </x:c>
      <x:c r="V15" s="5" t="inlineStr">
        <x:is>
          <x:t xml:space="preserve">Existence,Completeness,Rights &amp; Obligations</x:t>
        </x:is>
      </x:c>
      <x:c r="W15" s="5" t="inlineStr">
        <x:is>
          <x:t xml:space="preserve">No</x:t>
        </x:is>
      </x:c>
      <x:c r="X15" s="5" t="inlineStr">
        <x:is>
          <x:t xml:space="preserve">Operating</x:t>
        </x:is>
      </x:c>
      <x:c r="Y15" s="5" t="inlineStr">
        <x:is>
          <x:t xml:space="preserve">GL-154201</x:t>
        </x:is>
      </x:c>
      <x:c r="Z15" s="5" t="inlineStr">
        <x:is>
          <x:t xml:space="preserve">Cash at Bank</x:t>
        </x:is>
      </x:c>
      <x:c r="AA15" s="5" t="inlineStr">
        <x:is>
          <x:t xml:space="preserve">BANK-01</x:t>
        </x:is>
      </x:c>
      <x:c r="AB15" s="5" t="inlineStr">
        <x:is>
          <x:t xml:space="preserve">Yes</x:t>
        </x:is>
      </x:c>
      <x:c r="AC15" s="5" t="inlineStr">
        <x:is>
          <x:t xml:space="preserve">Imported</x:t>
        </x:is>
      </x:c>
      <x:c r="AD15" s="10" t="n">
        <x:v>100</x:v>
      </x:c>
      <x:c r="AE15" s="5" t="inlineStr">
        <x:is>
          <x:t xml:space="preserve">No</x:t>
        </x:is>
      </x:c>
      <x:c r="AF15" s="5" t="inlineStr">
        <x:is>
          <x:t xml:space="preserve"/>
        </x:is>
      </x:c>
      <x:c r="AG15" s="5" t="inlineStr">
        <x:is>
          <x:t xml:space="preserve">Associate 1</x:t>
        </x:is>
      </x:c>
      <x:c r="AH15" s="5" t="inlineStr">
        <x:is>
          <x:t xml:space="preserve">Manager 1</x:t>
        </x:is>
      </x:c>
      <x:c r="AI15" s="5" t="inlineStr">
        <x:is>
          <x:t xml:space="preserve">Partner 1</x:t>
        </x:is>
      </x:c>
      <x:c r="AJ15" s="24" t="n">
        <x:v>46116.375</x:v>
      </x:c>
    </x:row>
    <x:row r="16" ht="20" customHeight="1">
      <x:c r="A16" s="5" t="inlineStr">
        <x:is>
          <x:t xml:space="preserve">210301</x:t>
        </x:is>
      </x:c>
      <x:c r="B16" s="5" t="inlineStr">
        <x:is>
          <x:t xml:space="preserve">2103</x:t>
        </x:is>
      </x:c>
      <x:c r="C16" s="5" t="inlineStr">
        <x:is>
          <x:t xml:space="preserve">Paid-up Capital</x:t>
        </x:is>
      </x:c>
      <x:c r="D16" s="5" t="inlineStr">
        <x:is>
          <x:t xml:space="preserve">Equity</x:t>
        </x:is>
      </x:c>
      <x:c r="E16" s="5" t="inlineStr">
        <x:is>
          <x:t xml:space="preserve">Share Capital</x:t>
        </x:is>
      </x:c>
      <x:c r="F16" s="5" t="inlineStr">
        <x:is>
          <x:t xml:space="preserve">Equity</x:t>
        </x:is>
      </x:c>
      <x:c r="G16" s="5" t="inlineStr">
        <x:is>
          <x:t xml:space="preserve">Credit</x:t>
        </x:is>
      </x:c>
      <x:c r="H16" s="5" t="inlineStr">
        <x:is>
          <x:t xml:space="preserve">All</x:t>
        </x:is>
      </x:c>
      <x:c r="I16" s="5" t="inlineStr">
        <x:is>
          <x:t xml:space="preserve">Companies</x:t>
        </x:is>
      </x:c>
      <x:c r="J16" s="5" t="inlineStr">
        <x:is>
          <x:t xml:space="preserve">IAS 1</x:t>
        </x:is>
      </x:c>
      <x:c r="K16" s="5" t="inlineStr">
        <x:is>
          <x:t xml:space="preserve">Capital</x:t>
        </x:is>
      </x:c>
      <x:c r="L16" s="5" t="inlineStr">
        <x:is>
          <x:t xml:space="preserve">No</x:t>
        </x:is>
      </x:c>
      <x:c r="M16" s="5" t="inlineStr">
        <x:is>
          <x:t xml:space="preserve">No</x:t>
        </x:is>
      </x:c>
      <x:c r="N16" s="10" t="n">
        <x:v>5000000</x:v>
      </x:c>
      <x:c r="O16" s="12">
        <x:f>IF(A16="","",SUMIFS(Journal_Import!$S:$S,Journal_Import!$I:$I,A16))</x:f>
        <x:v>0</x:v>
      </x:c>
      <x:c r="P16" s="12">
        <x:f>IF(A16="","",SUMIFS(Journal_Import!$T:$T,Journal_Import!$I:$I,A16))</x:f>
        <x:v>0</x:v>
      </x:c>
      <x:c r="Q16" s="12">
        <x:f>IF(A16="","",IF(G16="Debit",N16+O16-P16,N16-O16+P16))</x:f>
        <x:v>5000000</x:v>
      </x:c>
      <x:c r="R16" s="10" t="n">
        <x:v>5000000</x:v>
      </x:c>
      <x:c r="S16" s="12">
        <x:f>IF(A16="","",Q16-R16)</x:f>
        <x:v>0</x:v>
      </x:c>
      <x:c r="T16" s="5" t="inlineStr">
        <x:is>
          <x:t xml:space="preserve">High</x:t>
        </x:is>
      </x:c>
      <x:c r="U16" s="5" t="inlineStr">
        <x:is>
          <x:t xml:space="preserve">Low</x:t>
        </x:is>
      </x:c>
      <x:c r="V16" s="5" t="inlineStr">
        <x:is>
          <x:t xml:space="preserve">Completeness,Presentation &amp; Disclosure</x:t>
        </x:is>
      </x:c>
      <x:c r="W16" s="5" t="inlineStr">
        <x:is>
          <x:t xml:space="preserve">No</x:t>
        </x:is>
      </x:c>
      <x:c r="X16" s="5" t="inlineStr">
        <x:is>
          <x:t xml:space="preserve">Financing</x:t>
        </x:is>
      </x:c>
      <x:c r="Y16" s="5" t="inlineStr">
        <x:is>
          <x:t xml:space="preserve">GL-210301</x:t>
        </x:is>
      </x:c>
      <x:c r="Z16" s="5" t="inlineStr">
        <x:is>
          <x:t xml:space="preserve">Paid-up Capital</x:t>
        </x:is>
      </x:c>
      <x:c r="AA16" s="5" t="inlineStr">
        <x:is>
          <x:t xml:space="preserve">EQT-01</x:t>
        </x:is>
      </x:c>
      <x:c r="AB16" s="5" t="inlineStr">
        <x:is>
          <x:t xml:space="preserve">Yes</x:t>
        </x:is>
      </x:c>
      <x:c r="AC16" s="5" t="inlineStr">
        <x:is>
          <x:t xml:space="preserve">Imported</x:t>
        </x:is>
      </x:c>
      <x:c r="AD16" s="10" t="n">
        <x:v>100</x:v>
      </x:c>
      <x:c r="AE16" s="5" t="inlineStr">
        <x:is>
          <x:t xml:space="preserve">No</x:t>
        </x:is>
      </x:c>
      <x:c r="AF16" s="5" t="inlineStr">
        <x:is>
          <x:t xml:space="preserve"/>
        </x:is>
      </x:c>
      <x:c r="AG16" s="5" t="inlineStr">
        <x:is>
          <x:t xml:space="preserve">Associate 1</x:t>
        </x:is>
      </x:c>
      <x:c r="AH16" s="5" t="inlineStr">
        <x:is>
          <x:t xml:space="preserve">Manager 1</x:t>
        </x:is>
      </x:c>
      <x:c r="AI16" s="5" t="inlineStr">
        <x:is>
          <x:t xml:space="preserve">Partner 1</x:t>
        </x:is>
      </x:c>
      <x:c r="AJ16" s="24" t="n">
        <x:v>46116.375</x:v>
      </x:c>
    </x:row>
    <x:row r="17" ht="20" customHeight="1">
      <x:c r="A17" s="5" t="inlineStr">
        <x:is>
          <x:t xml:space="preserve">230101</x:t>
        </x:is>
      </x:c>
      <x:c r="B17" s="5" t="inlineStr">
        <x:is>
          <x:t xml:space="preserve">2301</x:t>
        </x:is>
      </x:c>
      <x:c r="C17" s="5" t="inlineStr">
        <x:is>
          <x:t xml:space="preserve">Unappropriated Profit</x:t>
        </x:is>
      </x:c>
      <x:c r="D17" s="5" t="inlineStr">
        <x:is>
          <x:t xml:space="preserve">Equity</x:t>
        </x:is>
      </x:c>
      <x:c r="E17" s="5" t="inlineStr">
        <x:is>
          <x:t xml:space="preserve">Retained Earnings</x:t>
        </x:is>
      </x:c>
      <x:c r="F17" s="5" t="inlineStr">
        <x:is>
          <x:t xml:space="preserve">Equity</x:t>
        </x:is>
      </x:c>
      <x:c r="G17" s="5" t="inlineStr">
        <x:is>
          <x:t xml:space="preserve">Credit</x:t>
        </x:is>
      </x:c>
      <x:c r="H17" s="5" t="inlineStr">
        <x:is>
          <x:t xml:space="preserve">All</x:t>
        </x:is>
      </x:c>
      <x:c r="I17" s="5" t="inlineStr">
        <x:is>
          <x:t xml:space="preserve">All</x:t>
        </x:is>
      </x:c>
      <x:c r="J17" s="5" t="inlineStr">
        <x:is>
          <x:t xml:space="preserve">IAS 1</x:t>
        </x:is>
      </x:c>
      <x:c r="K17" s="5" t="inlineStr">
        <x:is>
          <x:t xml:space="preserve">Normal</x:t>
        </x:is>
      </x:c>
      <x:c r="L17" s="5" t="inlineStr">
        <x:is>
          <x:t xml:space="preserve">No</x:t>
        </x:is>
      </x:c>
      <x:c r="M17" s="5" t="inlineStr">
        <x:is>
          <x:t xml:space="preserve">No</x:t>
        </x:is>
      </x:c>
      <x:c r="N17" s="10" t="n">
        <x:v>1000000</x:v>
      </x:c>
      <x:c r="O17" s="12">
        <x:f>IF(A17="","",SUMIFS(Journal_Import!$S:$S,Journal_Import!$I:$I,A17))</x:f>
        <x:v>0</x:v>
      </x:c>
      <x:c r="P17" s="12">
        <x:f>IF(A17="","",SUMIFS(Journal_Import!$T:$T,Journal_Import!$I:$I,A17))</x:f>
        <x:v>0</x:v>
      </x:c>
      <x:c r="Q17" s="12">
        <x:f>IF(A17="","",IF(G17="Debit",N17+O17-P17,N17-O17+P17))</x:f>
        <x:v>1000000</x:v>
      </x:c>
      <x:c r="R17" s="10" t="n">
        <x:v>900000</x:v>
      </x:c>
      <x:c r="S17" s="12">
        <x:f>IF(A17="","",Q17-R17)</x:f>
        <x:v>100000</x:v>
      </x:c>
      <x:c r="T17" s="5" t="inlineStr">
        <x:is>
          <x:t xml:space="preserve">High</x:t>
        </x:is>
      </x:c>
      <x:c r="U17" s="5" t="inlineStr">
        <x:is>
          <x:t xml:space="preserve">Medium</x:t>
        </x:is>
      </x:c>
      <x:c r="V17" s="5" t="inlineStr">
        <x:is>
          <x:t xml:space="preserve">Completeness,Presentation &amp; Disclosure</x:t>
        </x:is>
      </x:c>
      <x:c r="W17" s="5" t="inlineStr">
        <x:is>
          <x:t xml:space="preserve">No</x:t>
        </x:is>
      </x:c>
      <x:c r="X17" s="5" t="inlineStr">
        <x:is>
          <x:t xml:space="preserve">Financing</x:t>
        </x:is>
      </x:c>
      <x:c r="Y17" s="5" t="inlineStr">
        <x:is>
          <x:t xml:space="preserve">GL-230101</x:t>
        </x:is>
      </x:c>
      <x:c r="Z17" s="5" t="inlineStr">
        <x:is>
          <x:t xml:space="preserve">Retained Earnings</x:t>
        </x:is>
      </x:c>
      <x:c r="AA17" s="5" t="inlineStr">
        <x:is>
          <x:t xml:space="preserve">EQT-02</x:t>
        </x:is>
      </x:c>
      <x:c r="AB17" s="5" t="inlineStr">
        <x:is>
          <x:t xml:space="preserve">Yes</x:t>
        </x:is>
      </x:c>
      <x:c r="AC17" s="5" t="inlineStr">
        <x:is>
          <x:t xml:space="preserve">Imported</x:t>
        </x:is>
      </x:c>
      <x:c r="AD17" s="10" t="n">
        <x:v>100</x:v>
      </x:c>
      <x:c r="AE17" s="5" t="inlineStr">
        <x:is>
          <x:t xml:space="preserve">No</x:t>
        </x:is>
      </x:c>
      <x:c r="AF17" s="5" t="inlineStr">
        <x:is>
          <x:t xml:space="preserve"/>
        </x:is>
      </x:c>
      <x:c r="AG17" s="5" t="inlineStr">
        <x:is>
          <x:t xml:space="preserve">Associate 1</x:t>
        </x:is>
      </x:c>
      <x:c r="AH17" s="5" t="inlineStr">
        <x:is>
          <x:t xml:space="preserve">Manager 1</x:t>
        </x:is>
      </x:c>
      <x:c r="AI17" s="5" t="inlineStr">
        <x:is>
          <x:t xml:space="preserve">Partner 1</x:t>
        </x:is>
      </x:c>
      <x:c r="AJ17" s="24" t="n">
        <x:v>46116.375</x:v>
      </x:c>
    </x:row>
    <x:row r="18" ht="20" customHeight="1">
      <x:c r="A18" s="5" t="inlineStr">
        <x:is>
          <x:t xml:space="preserve">310101</x:t>
        </x:is>
      </x:c>
      <x:c r="B18" s="5" t="inlineStr">
        <x:is>
          <x:t xml:space="preserve">3101</x:t>
        </x:is>
      </x:c>
      <x:c r="C18" s="5" t="inlineStr">
        <x:is>
          <x:t xml:space="preserve">Long-term Loan</x:t>
        </x:is>
      </x:c>
      <x:c r="D18" s="5" t="inlineStr">
        <x:is>
          <x:t xml:space="preserve">Non-Current Liabilities</x:t>
        </x:is>
      </x:c>
      <x:c r="E18" s="5" t="inlineStr">
        <x:is>
          <x:t xml:space="preserve">Borrowings</x:t>
        </x:is>
      </x:c>
      <x:c r="F18" s="5" t="inlineStr">
        <x:is>
          <x:t xml:space="preserve">Liability</x:t>
        </x:is>
      </x:c>
      <x:c r="G18" s="5" t="inlineStr">
        <x:is>
          <x:t xml:space="preserve">Credit</x:t>
        </x:is>
      </x:c>
      <x:c r="H18" s="5" t="inlineStr">
        <x:is>
          <x:t xml:space="preserve">All</x:t>
        </x:is>
      </x:c>
      <x:c r="I18" s="5" t="inlineStr">
        <x:is>
          <x:t xml:space="preserve">All</x:t>
        </x:is>
      </x:c>
      <x:c r="J18" s="5" t="inlineStr">
        <x:is>
          <x:t xml:space="preserve">IFRS 9</x:t>
        </x:is>
      </x:c>
      <x:c r="K18" s="5" t="inlineStr">
        <x:is>
          <x:t xml:space="preserve">Normal</x:t>
        </x:is>
      </x:c>
      <x:c r="L18" s="5" t="inlineStr">
        <x:is>
          <x:t xml:space="preserve">No</x:t>
        </x:is>
      </x:c>
      <x:c r="M18" s="5" t="inlineStr">
        <x:is>
          <x:t xml:space="preserve">No</x:t>
        </x:is>
      </x:c>
      <x:c r="N18" s="10" t="n">
        <x:v>200000</x:v>
      </x:c>
      <x:c r="O18" s="12">
        <x:f>IF(A18="","",SUMIFS(Journal_Import!$S:$S,Journal_Import!$I:$I,A18))</x:f>
        <x:v>0</x:v>
      </x:c>
      <x:c r="P18" s="12">
        <x:f>IF(A18="","",SUMIFS(Journal_Import!$T:$T,Journal_Import!$I:$I,A18))</x:f>
        <x:v>0</x:v>
      </x:c>
      <x:c r="Q18" s="12">
        <x:f>IF(A18="","",IF(G18="Debit",N18+O18-P18,N18-O18+P18))</x:f>
        <x:v>200000</x:v>
      </x:c>
      <x:c r="R18" s="10" t="n">
        <x:v>300000</x:v>
      </x:c>
      <x:c r="S18" s="12">
        <x:f>IF(A18="","",Q18-R18)</x:f>
        <x:v>-100000</x:v>
      </x:c>
      <x:c r="T18" s="5" t="inlineStr">
        <x:is>
          <x:t xml:space="preserve">High</x:t>
        </x:is>
      </x:c>
      <x:c r="U18" s="5" t="inlineStr">
        <x:is>
          <x:t xml:space="preserve">Medium</x:t>
        </x:is>
      </x:c>
      <x:c r="V18" s="5" t="inlineStr">
        <x:is>
          <x:t xml:space="preserve">Completeness,Valuation</x:t>
        </x:is>
      </x:c>
      <x:c r="W18" s="5" t="inlineStr">
        <x:is>
          <x:t xml:space="preserve">No</x:t>
        </x:is>
      </x:c>
      <x:c r="X18" s="5" t="inlineStr">
        <x:is>
          <x:t xml:space="preserve">Financing</x:t>
        </x:is>
      </x:c>
      <x:c r="Y18" s="5" t="inlineStr">
        <x:is>
          <x:t xml:space="preserve">GL-310101</x:t>
        </x:is>
      </x:c>
      <x:c r="Z18" s="5" t="inlineStr">
        <x:is>
          <x:t xml:space="preserve">Long-term Borrowings</x:t>
        </x:is>
      </x:c>
      <x:c r="AA18" s="5" t="inlineStr">
        <x:is>
          <x:t xml:space="preserve">L-01</x:t>
        </x:is>
      </x:c>
      <x:c r="AB18" s="5" t="inlineStr">
        <x:is>
          <x:t xml:space="preserve">Yes</x:t>
        </x:is>
      </x:c>
      <x:c r="AC18" s="5" t="inlineStr">
        <x:is>
          <x:t xml:space="preserve">Imported</x:t>
        </x:is>
      </x:c>
      <x:c r="AD18" s="10" t="n">
        <x:v>100</x:v>
      </x:c>
      <x:c r="AE18" s="5" t="inlineStr">
        <x:is>
          <x:t xml:space="preserve">No</x:t>
        </x:is>
      </x:c>
      <x:c r="AF18" s="5" t="inlineStr">
        <x:is>
          <x:t xml:space="preserve"/>
        </x:is>
      </x:c>
      <x:c r="AG18" s="5" t="inlineStr">
        <x:is>
          <x:t xml:space="preserve">Associate 1</x:t>
        </x:is>
      </x:c>
      <x:c r="AH18" s="5" t="inlineStr">
        <x:is>
          <x:t xml:space="preserve">Manager 1</x:t>
        </x:is>
      </x:c>
      <x:c r="AI18" s="5" t="inlineStr">
        <x:is>
          <x:t xml:space="preserve">Partner 1</x:t>
        </x:is>
      </x:c>
      <x:c r="AJ18" s="24" t="n">
        <x:v>46116.375</x:v>
      </x:c>
    </x:row>
    <x:row r="19" ht="20" customHeight="1">
      <x:c r="A19" s="5" t="inlineStr">
        <x:is>
          <x:t xml:space="preserve">321101</x:t>
        </x:is>
      </x:c>
      <x:c r="B19" s="5" t="inlineStr">
        <x:is>
          <x:t xml:space="preserve">3210</x:t>
        </x:is>
      </x:c>
      <x:c r="C19" s="5" t="inlineStr">
        <x:is>
          <x:t xml:space="preserve">Trade Creditors</x:t>
        </x:is>
      </x:c>
      <x:c r="D19" s="5" t="inlineStr">
        <x:is>
          <x:t xml:space="preserve">Current Liabilities</x:t>
        </x:is>
      </x:c>
      <x:c r="E19" s="5" t="inlineStr">
        <x:is>
          <x:t xml:space="preserve">Trade Payables</x:t>
        </x:is>
      </x:c>
      <x:c r="F19" s="5" t="inlineStr">
        <x:is>
          <x:t xml:space="preserve">Liability</x:t>
        </x:is>
      </x:c>
      <x:c r="G19" s="5" t="inlineStr">
        <x:is>
          <x:t xml:space="preserve">Credit</x:t>
        </x:is>
      </x:c>
      <x:c r="H19" s="5" t="inlineStr">
        <x:is>
          <x:t xml:space="preserve">All</x:t>
        </x:is>
      </x:c>
      <x:c r="I19" s="5" t="inlineStr">
        <x:is>
          <x:t xml:space="preserve">All</x:t>
        </x:is>
      </x:c>
      <x:c r="J19" s="5" t="inlineStr">
        <x:is>
          <x:t xml:space="preserve">IFRS 9</x:t>
        </x:is>
      </x:c>
      <x:c r="K19" s="5" t="inlineStr">
        <x:is>
          <x:t xml:space="preserve">Normal</x:t>
        </x:is>
      </x:c>
      <x:c r="L19" s="5" t="inlineStr">
        <x:is>
          <x:t xml:space="preserve">Yes</x:t>
        </x:is>
      </x:c>
      <x:c r="M19" s="5" t="inlineStr">
        <x:is>
          <x:t xml:space="preserve">Yes</x:t>
        </x:is>
      </x:c>
      <x:c r="N19" s="10" t="n">
        <x:v>800000</x:v>
      </x:c>
      <x:c r="O19" s="12">
        <x:f>IF(A19="","",SUMIFS(Journal_Import!$S:$S,Journal_Import!$I:$I,A19))</x:f>
        <x:v>0</x:v>
      </x:c>
      <x:c r="P19" s="12">
        <x:f>IF(A19="","",SUMIFS(Journal_Import!$T:$T,Journal_Import!$I:$I,A19))</x:f>
        <x:v>400000</x:v>
      </x:c>
      <x:c r="Q19" s="12">
        <x:f>IF(A19="","",IF(G19="Debit",N19+O19-P19,N19-O19+P19))</x:f>
        <x:v>1200000</x:v>
      </x:c>
      <x:c r="R19" s="10" t="n">
        <x:v>750000</x:v>
      </x:c>
      <x:c r="S19" s="12">
        <x:f>IF(A19="","",Q19-R19)</x:f>
        <x:v>450000</x:v>
      </x:c>
      <x:c r="T19" s="5" t="inlineStr">
        <x:is>
          <x:t xml:space="preserve">High</x:t>
        </x:is>
      </x:c>
      <x:c r="U19" s="5" t="inlineStr">
        <x:is>
          <x:t xml:space="preserve">High</x:t>
        </x:is>
      </x:c>
      <x:c r="V19" s="5" t="inlineStr">
        <x:is>
          <x:t xml:space="preserve">Completeness,Valuation</x:t>
        </x:is>
      </x:c>
      <x:c r="W19" s="5" t="inlineStr">
        <x:is>
          <x:t xml:space="preserve">Yes</x:t>
        </x:is>
      </x:c>
      <x:c r="X19" s="5" t="inlineStr">
        <x:is>
          <x:t xml:space="preserve">Operating</x:t>
        </x:is>
      </x:c>
      <x:c r="Y19" s="5" t="inlineStr">
        <x:is>
          <x:t xml:space="preserve">GL-321101</x:t>
        </x:is>
      </x:c>
      <x:c r="Z19" s="5" t="inlineStr">
        <x:is>
          <x:t xml:space="preserve">Trade Payables</x:t>
        </x:is>
      </x:c>
      <x:c r="AA19" s="5" t="inlineStr">
        <x:is>
          <x:t xml:space="preserve">AP-01</x:t>
        </x:is>
      </x:c>
      <x:c r="AB19" s="5" t="inlineStr">
        <x:is>
          <x:t xml:space="preserve">Yes</x:t>
        </x:is>
      </x:c>
      <x:c r="AC19" s="5" t="inlineStr">
        <x:is>
          <x:t xml:space="preserve">Imported</x:t>
        </x:is>
      </x:c>
      <x:c r="AD19" s="10" t="n">
        <x:v>99</x:v>
      </x:c>
      <x:c r="AE19" s="5" t="inlineStr">
        <x:is>
          <x:t xml:space="preserve">No</x:t>
        </x:is>
      </x:c>
      <x:c r="AF19" s="5" t="inlineStr">
        <x:is>
          <x:t xml:space="preserve"/>
        </x:is>
      </x:c>
      <x:c r="AG19" s="5" t="inlineStr">
        <x:is>
          <x:t xml:space="preserve">Associate 1</x:t>
        </x:is>
      </x:c>
      <x:c r="AH19" s="5" t="inlineStr">
        <x:is>
          <x:t xml:space="preserve">Manager 1</x:t>
        </x:is>
      </x:c>
      <x:c r="AI19" s="5" t="inlineStr">
        <x:is>
          <x:t xml:space="preserve">Partner 1</x:t>
        </x:is>
      </x:c>
      <x:c r="AJ19" s="24" t="n">
        <x:v>46116.375</x:v>
      </x:c>
    </x:row>
    <x:row r="20" ht="20" customHeight="1">
      <x:c r="A20" s="5" t="inlineStr">
        <x:is>
          <x:t xml:space="preserve">324101</x:t>
        </x:is>
      </x:c>
      <x:c r="B20" s="5" t="inlineStr">
        <x:is>
          <x:t xml:space="preserve">3241</x:t>
        </x:is>
      </x:c>
      <x:c r="C20" s="5" t="inlineStr">
        <x:is>
          <x:t xml:space="preserve">Income Tax Payable</x:t>
        </x:is>
      </x:c>
      <x:c r="D20" s="5" t="inlineStr">
        <x:is>
          <x:t xml:space="preserve">Current Liabilities</x:t>
        </x:is>
      </x:c>
      <x:c r="E20" s="5" t="inlineStr">
        <x:is>
          <x:t xml:space="preserve">Taxes Payable</x:t>
        </x:is>
      </x:c>
      <x:c r="F20" s="5" t="inlineStr">
        <x:is>
          <x:t xml:space="preserve">Liability</x:t>
        </x:is>
      </x:c>
      <x:c r="G20" s="5" t="inlineStr">
        <x:is>
          <x:t xml:space="preserve">Credit</x:t>
        </x:is>
      </x:c>
      <x:c r="H20" s="5" t="inlineStr">
        <x:is>
          <x:t xml:space="preserve">All</x:t>
        </x:is>
      </x:c>
      <x:c r="I20" s="5" t="inlineStr">
        <x:is>
          <x:t xml:space="preserve">All</x:t>
        </x:is>
      </x:c>
      <x:c r="J20" s="5" t="inlineStr">
        <x:is>
          <x:t xml:space="preserve">IAS 12</x:t>
        </x:is>
      </x:c>
      <x:c r="K20" s="5" t="inlineStr">
        <x:is>
          <x:t xml:space="preserve">Deferred Tax</x:t>
        </x:is>
      </x:c>
      <x:c r="L20" s="5" t="inlineStr">
        <x:is>
          <x:t xml:space="preserve">No</x:t>
        </x:is>
      </x:c>
      <x:c r="M20" s="5" t="inlineStr">
        <x:is>
          <x:t xml:space="preserve">No</x:t>
        </x:is>
      </x:c>
      <x:c r="N20" s="10" t="n">
        <x:v>0</x:v>
      </x:c>
      <x:c r="O20" s="12">
        <x:f>IF(A20="","",SUMIFS(Journal_Import!$S:$S,Journal_Import!$I:$I,A20))</x:f>
        <x:v>0</x:v>
      </x:c>
      <x:c r="P20" s="12">
        <x:f>IF(A20="","",SUMIFS(Journal_Import!$T:$T,Journal_Import!$I:$I,A20))</x:f>
        <x:v>0</x:v>
      </x:c>
      <x:c r="Q20" s="12">
        <x:f>IF(A20="","",IF(G20="Debit",N20+O20-P20,N20-O20+P20))</x:f>
        <x:v>0</x:v>
      </x:c>
      <x:c r="R20" s="10" t="n">
        <x:v>0</x:v>
      </x:c>
      <x:c r="S20" s="12">
        <x:f>IF(A20="","",Q20-R20)</x:f>
        <x:v>0</x:v>
      </x:c>
      <x:c r="T20" s="5" t="inlineStr">
        <x:is>
          <x:t xml:space="preserve">Medium</x:t>
        </x:is>
      </x:c>
      <x:c r="U20" s="5" t="inlineStr">
        <x:is>
          <x:t xml:space="preserve">Medium</x:t>
        </x:is>
      </x:c>
      <x:c r="V20" s="5" t="inlineStr">
        <x:is>
          <x:t xml:space="preserve">Completeness,Valuation</x:t>
        </x:is>
      </x:c>
      <x:c r="W20" s="5" t="inlineStr">
        <x:is>
          <x:t xml:space="preserve">No</x:t>
        </x:is>
      </x:c>
      <x:c r="X20" s="5" t="inlineStr">
        <x:is>
          <x:t xml:space="preserve">Operating</x:t>
        </x:is>
      </x:c>
      <x:c r="Y20" s="5" t="inlineStr">
        <x:is>
          <x:t xml:space="preserve">GL-324101</x:t>
        </x:is>
      </x:c>
      <x:c r="Z20" s="5" t="inlineStr">
        <x:is>
          <x:t xml:space="preserve">Income Tax Payable</x:t>
        </x:is>
      </x:c>
      <x:c r="AA20" s="5" t="inlineStr">
        <x:is>
          <x:t xml:space="preserve">TAX-01</x:t>
        </x:is>
      </x:c>
      <x:c r="AB20" s="5" t="inlineStr">
        <x:is>
          <x:t xml:space="preserve">Yes</x:t>
        </x:is>
      </x:c>
      <x:c r="AC20" s="5" t="inlineStr">
        <x:is>
          <x:t xml:space="preserve">Imported</x:t>
        </x:is>
      </x:c>
      <x:c r="AD20" s="10" t="n">
        <x:v>98</x:v>
      </x:c>
      <x:c r="AE20" s="5" t="inlineStr">
        <x:is>
          <x:t xml:space="preserve">No</x:t>
        </x:is>
      </x:c>
      <x:c r="AF20" s="5" t="inlineStr">
        <x:is>
          <x:t xml:space="preserve"/>
        </x:is>
      </x:c>
      <x:c r="AG20" s="5" t="inlineStr">
        <x:is>
          <x:t xml:space="preserve">Associate 1</x:t>
        </x:is>
      </x:c>
      <x:c r="AH20" s="5" t="inlineStr">
        <x:is>
          <x:t xml:space="preserve">Manager 1</x:t>
        </x:is>
      </x:c>
      <x:c r="AI20" s="5" t="inlineStr">
        <x:is>
          <x:t xml:space="preserve">Partner 1</x:t>
        </x:is>
      </x:c>
      <x:c r="AJ20" s="24" t="n">
        <x:v>46116.375</x:v>
      </x:c>
    </x:row>
    <x:row r="21">
      <x:c r="A21" s="5" t="inlineStr">
        <x:is>
          <x:t xml:space="preserve">410101</x:t>
        </x:is>
      </x:c>
      <x:c r="B21" s="5" t="inlineStr">
        <x:is>
          <x:t xml:space="preserve">4101</x:t>
        </x:is>
      </x:c>
      <x:c r="C21" s="5" t="inlineStr">
        <x:is>
          <x:t xml:space="preserve">Sales - Local</x:t>
        </x:is>
      </x:c>
      <x:c r="D21" s="5" t="inlineStr">
        <x:is>
          <x:t xml:space="preserve">Revenue</x:t>
        </x:is>
      </x:c>
      <x:c r="E21" s="5" t="inlineStr">
        <x:is>
          <x:t xml:space="preserve">Operating Revenue</x:t>
        </x:is>
      </x:c>
      <x:c r="F21" s="5" t="inlineStr">
        <x:is>
          <x:t xml:space="preserve">Income</x:t>
        </x:is>
      </x:c>
      <x:c r="G21" s="5" t="inlineStr">
        <x:is>
          <x:t xml:space="preserve">Credit</x:t>
        </x:is>
      </x:c>
      <x:c r="H21" s="5" t="inlineStr">
        <x:is>
          <x:t xml:space="preserve">Manufacturing,Trading,Services</x:t>
        </x:is>
      </x:c>
      <x:c r="I21" s="5" t="inlineStr">
        <x:is>
          <x:t xml:space="preserve">All</x:t>
        </x:is>
      </x:c>
      <x:c r="J21" s="5" t="inlineStr">
        <x:is>
          <x:t xml:space="preserve">IFRS 15</x:t>
        </x:is>
      </x:c>
      <x:c r="K21" s="5" t="inlineStr">
        <x:is>
          <x:t xml:space="preserve">Normal</x:t>
        </x:is>
      </x:c>
      <x:c r="L21" s="5" t="inlineStr">
        <x:is>
          <x:t xml:space="preserve">No</x:t>
        </x:is>
      </x:c>
      <x:c r="M21" s="5" t="inlineStr">
        <x:is>
          <x:t xml:space="preserve">No</x:t>
        </x:is>
      </x:c>
      <x:c r="N21" s="10" t="n">
        <x:v>0</x:v>
      </x:c>
      <x:c r="O21" s="12">
        <x:f>IF(A21="","",SUMIFS(Journal_Import!$S:$S,Journal_Import!$I:$I,A21))</x:f>
        <x:v>0</x:v>
      </x:c>
      <x:c r="P21" s="12">
        <x:f>IF(A21="","",SUMIFS(Journal_Import!$T:$T,Journal_Import!$I:$I,A21))</x:f>
        <x:v>500000</x:v>
      </x:c>
      <x:c r="Q21" s="12">
        <x:f>IF(A21="","",IF(G21="Debit",N21+O21-P21,N21-O21+P21))</x:f>
        <x:v>500000</x:v>
      </x:c>
      <x:c r="R21" s="10" t="n">
        <x:v>0</x:v>
      </x:c>
      <x:c r="S21" s="12">
        <x:f>IF(A21="","",Q21-R21)</x:f>
        <x:v>500000</x:v>
      </x:c>
      <x:c r="T21" s="5" t="inlineStr">
        <x:is>
          <x:t xml:space="preserve">High</x:t>
        </x:is>
      </x:c>
      <x:c r="U21" s="5" t="inlineStr">
        <x:is>
          <x:t xml:space="preserve">Significant</x:t>
        </x:is>
      </x:c>
      <x:c r="V21" s="5" t="inlineStr">
        <x:is>
          <x:t xml:space="preserve">Occurrence,Cut-off,Accuracy</x:t>
        </x:is>
      </x:c>
      <x:c r="W21" s="5" t="inlineStr">
        <x:is>
          <x:t xml:space="preserve">No</x:t>
        </x:is>
      </x:c>
      <x:c r="X21" s="5" t="inlineStr">
        <x:is>
          <x:t xml:space="preserve">Operating</x:t>
        </x:is>
      </x:c>
      <x:c r="Y21" s="5" t="inlineStr">
        <x:is>
          <x:t xml:space="preserve">GL-410101</x:t>
        </x:is>
      </x:c>
      <x:c r="Z21" s="5" t="inlineStr">
        <x:is>
          <x:t xml:space="preserve">Revenue from Contracts with Customers</x:t>
        </x:is>
      </x:c>
      <x:c r="AA21" s="5" t="inlineStr">
        <x:is>
          <x:t xml:space="preserve">REV-01</x:t>
        </x:is>
      </x:c>
      <x:c r="AB21" s="5" t="inlineStr">
        <x:is>
          <x:t xml:space="preserve">Yes</x:t>
        </x:is>
      </x:c>
      <x:c r="AC21" s="5" t="inlineStr">
        <x:is>
          <x:t xml:space="preserve">Imported</x:t>
        </x:is>
      </x:c>
      <x:c r="AD21" s="10" t="n">
        <x:v>98</x:v>
      </x:c>
      <x:c r="AE21" s="5" t="inlineStr">
        <x:is>
          <x:t xml:space="preserve">No</x:t>
        </x:is>
      </x:c>
      <x:c r="AF21" s="5" t="inlineStr">
        <x:is>
          <x:t xml:space="preserve"/>
        </x:is>
      </x:c>
      <x:c r="AG21" s="5" t="inlineStr">
        <x:is>
          <x:t xml:space="preserve">Associate 1</x:t>
        </x:is>
      </x:c>
      <x:c r="AH21" s="5" t="inlineStr">
        <x:is>
          <x:t xml:space="preserve">Manager 1</x:t>
        </x:is>
      </x:c>
      <x:c r="AI21" s="5" t="inlineStr">
        <x:is>
          <x:t xml:space="preserve">Partner 1</x:t>
        </x:is>
      </x:c>
      <x:c r="AJ21" s="24" t="n">
        <x:v>46116.375</x:v>
      </x:c>
    </x:row>
    <x:row r="22">
      <x:c r="A22" s="5" t="inlineStr">
        <x:is>
          <x:t xml:space="preserve">420101</x:t>
        </x:is>
      </x:c>
      <x:c r="B22" s="5" t="inlineStr">
        <x:is>
          <x:t xml:space="preserve">4201</x:t>
        </x:is>
      </x:c>
      <x:c r="C22" s="5" t="inlineStr">
        <x:is>
          <x:t xml:space="preserve">Profit on Bank Deposits</x:t>
        </x:is>
      </x:c>
      <x:c r="D22" s="5" t="inlineStr">
        <x:is>
          <x:t xml:space="preserve">Other Income</x:t>
        </x:is>
      </x:c>
      <x:c r="E22" s="5" t="inlineStr">
        <x:is>
          <x:t xml:space="preserve">Other Income</x:t>
        </x:is>
      </x:c>
      <x:c r="F22" s="5" t="inlineStr">
        <x:is>
          <x:t xml:space="preserve">Income</x:t>
        </x:is>
      </x:c>
      <x:c r="G22" s="5" t="inlineStr">
        <x:is>
          <x:t xml:space="preserve">Credit</x:t>
        </x:is>
      </x:c>
      <x:c r="H22" s="5" t="inlineStr">
        <x:is>
          <x:t xml:space="preserve">All</x:t>
        </x:is>
      </x:c>
      <x:c r="I22" s="5" t="inlineStr">
        <x:is>
          <x:t xml:space="preserve">All</x:t>
        </x:is>
      </x:c>
      <x:c r="J22" s="5" t="inlineStr">
        <x:is>
          <x:t xml:space="preserve">IFRS 9</x:t>
        </x:is>
      </x:c>
      <x:c r="K22" s="5" t="inlineStr">
        <x:is>
          <x:t xml:space="preserve">Exempt</x:t>
        </x:is>
      </x:c>
      <x:c r="L22" s="5" t="inlineStr">
        <x:is>
          <x:t xml:space="preserve">No</x:t>
        </x:is>
      </x:c>
      <x:c r="M22" s="5" t="inlineStr">
        <x:is>
          <x:t xml:space="preserve">No</x:t>
        </x:is>
      </x:c>
      <x:c r="N22" s="10" t="n">
        <x:v>0</x:v>
      </x:c>
      <x:c r="O22" s="12">
        <x:f>IF(A22="","",SUMIFS(Journal_Import!$S:$S,Journal_Import!$I:$I,A22))</x:f>
        <x:v>0</x:v>
      </x:c>
      <x:c r="P22" s="12">
        <x:f>IF(A22="","",SUMIFS(Journal_Import!$T:$T,Journal_Import!$I:$I,A22))</x:f>
        <x:v>10000</x:v>
      </x:c>
      <x:c r="Q22" s="12">
        <x:f>IF(A22="","",IF(G22="Debit",N22+O22-P22,N22-O22+P22))</x:f>
        <x:v>10000</x:v>
      </x:c>
      <x:c r="R22" s="10" t="n">
        <x:v>0</x:v>
      </x:c>
      <x:c r="S22" s="12">
        <x:f>IF(A22="","",Q22-R22)</x:f>
        <x:v>10000</x:v>
      </x:c>
      <x:c r="T22" s="5" t="inlineStr">
        <x:is>
          <x:t xml:space="preserve">Low</x:t>
        </x:is>
      </x:c>
      <x:c r="U22" s="5" t="inlineStr">
        <x:is>
          <x:t xml:space="preserve">Low</x:t>
        </x:is>
      </x:c>
      <x:c r="V22" s="5" t="inlineStr">
        <x:is>
          <x:t xml:space="preserve">Occurrence,Accuracy</x:t>
        </x:is>
      </x:c>
      <x:c r="W22" s="5" t="inlineStr">
        <x:is>
          <x:t xml:space="preserve">No</x:t>
        </x:is>
      </x:c>
      <x:c r="X22" s="5" t="inlineStr">
        <x:is>
          <x:t xml:space="preserve">Operating</x:t>
        </x:is>
      </x:c>
      <x:c r="Y22" s="5" t="inlineStr">
        <x:is>
          <x:t xml:space="preserve">GL-420101</x:t>
        </x:is>
      </x:c>
      <x:c r="Z22" s="5" t="inlineStr">
        <x:is>
          <x:t xml:space="preserve">Other Income</x:t>
        </x:is>
      </x:c>
      <x:c r="AA22" s="5" t="inlineStr">
        <x:is>
          <x:t xml:space="preserve">OI-01</x:t>
        </x:is>
      </x:c>
      <x:c r="AB22" s="5" t="inlineStr">
        <x:is>
          <x:t xml:space="preserve">Yes</x:t>
        </x:is>
      </x:c>
      <x:c r="AC22" s="5" t="inlineStr">
        <x:is>
          <x:t xml:space="preserve">Imported</x:t>
        </x:is>
      </x:c>
      <x:c r="AD22" s="10" t="n">
        <x:v>100</x:v>
      </x:c>
      <x:c r="AE22" s="5" t="inlineStr">
        <x:is>
          <x:t xml:space="preserve">No</x:t>
        </x:is>
      </x:c>
      <x:c r="AF22" s="5" t="inlineStr">
        <x:is>
          <x:t xml:space="preserve"/>
        </x:is>
      </x:c>
      <x:c r="AG22" s="5" t="inlineStr">
        <x:is>
          <x:t xml:space="preserve">Associate 1</x:t>
        </x:is>
      </x:c>
      <x:c r="AH22" s="5" t="inlineStr">
        <x:is>
          <x:t xml:space="preserve">Manager 1</x:t>
        </x:is>
      </x:c>
      <x:c r="AI22" s="5" t="inlineStr">
        <x:is>
          <x:t xml:space="preserve">Partner 1</x:t>
        </x:is>
      </x:c>
      <x:c r="AJ22" s="24" t="n">
        <x:v>46116.375</x:v>
      </x:c>
    </x:row>
    <x:row r="23">
      <x:c r="A23" s="5" t="inlineStr">
        <x:is>
          <x:t xml:space="preserve">510101</x:t>
        </x:is>
      </x:c>
      <x:c r="B23" s="5" t="inlineStr">
        <x:is>
          <x:t xml:space="preserve">5101</x:t>
        </x:is>
      </x:c>
      <x:c r="C23" s="5" t="inlineStr">
        <x:is>
          <x:t xml:space="preserve">Raw Material Consumed</x:t>
        </x:is>
      </x:c>
      <x:c r="D23" s="5" t="inlineStr">
        <x:is>
          <x:t xml:space="preserve">Cost of Sales</x:t>
        </x:is>
      </x:c>
      <x:c r="E23" s="5" t="inlineStr">
        <x:is>
          <x:t xml:space="preserve">Manufacturing Costs</x:t>
        </x:is>
      </x:c>
      <x:c r="F23" s="5" t="inlineStr">
        <x:is>
          <x:t xml:space="preserve">Expense</x:t>
        </x:is>
      </x:c>
      <x:c r="G23" s="5" t="inlineStr">
        <x:is>
          <x:t xml:space="preserve">Debit</x:t>
        </x:is>
      </x:c>
      <x:c r="H23" s="5" t="inlineStr">
        <x:is>
          <x:t xml:space="preserve">Manufacturing</x:t>
        </x:is>
      </x:c>
      <x:c r="I23" s="5" t="inlineStr">
        <x:is>
          <x:t xml:space="preserve">All</x:t>
        </x:is>
      </x:c>
      <x:c r="J23" s="5" t="inlineStr">
        <x:is>
          <x:t xml:space="preserve">IAS 2</x:t>
        </x:is>
      </x:c>
      <x:c r="K23" s="5" t="inlineStr">
        <x:is>
          <x:t xml:space="preserve">Normal</x:t>
        </x:is>
      </x:c>
      <x:c r="L23" s="5" t="inlineStr">
        <x:is>
          <x:t xml:space="preserve">No</x:t>
        </x:is>
      </x:c>
      <x:c r="M23" s="5" t="inlineStr">
        <x:is>
          <x:t xml:space="preserve">No</x:t>
        </x:is>
      </x:c>
      <x:c r="N23" s="10" t="n">
        <x:v>0</x:v>
      </x:c>
      <x:c r="O23" s="12">
        <x:f>IF(A23="","",SUMIFS(Journal_Import!$S:$S,Journal_Import!$I:$I,A23))</x:f>
        <x:v>0</x:v>
      </x:c>
      <x:c r="P23" s="12">
        <x:f>IF(A23="","",SUMIFS(Journal_Import!$T:$T,Journal_Import!$I:$I,A23))</x:f>
        <x:v>0</x:v>
      </x:c>
      <x:c r="Q23" s="12">
        <x:f>IF(A23="","",IF(G23="Debit",N23+O23-P23,N23-O23+P23))</x:f>
        <x:v>0</x:v>
      </x:c>
      <x:c r="R23" s="10" t="n">
        <x:v>0</x:v>
      </x:c>
      <x:c r="S23" s="12">
        <x:f>IF(A23="","",Q23-R23)</x:f>
        <x:v>0</x:v>
      </x:c>
      <x:c r="T23" s="5" t="inlineStr">
        <x:is>
          <x:t xml:space="preserve">High</x:t>
        </x:is>
      </x:c>
      <x:c r="U23" s="5" t="inlineStr">
        <x:is>
          <x:t xml:space="preserve">High</x:t>
        </x:is>
      </x:c>
      <x:c r="V23" s="5" t="inlineStr">
        <x:is>
          <x:t xml:space="preserve">Occurrence,Accuracy,Cut-off</x:t>
        </x:is>
      </x:c>
      <x:c r="W23" s="5" t="inlineStr">
        <x:is>
          <x:t xml:space="preserve">No</x:t>
        </x:is>
      </x:c>
      <x:c r="X23" s="5" t="inlineStr">
        <x:is>
          <x:t xml:space="preserve">Operating</x:t>
        </x:is>
      </x:c>
      <x:c r="Y23" s="5" t="inlineStr">
        <x:is>
          <x:t xml:space="preserve">GL-510101</x:t>
        </x:is>
      </x:c>
      <x:c r="Z23" s="5" t="inlineStr">
        <x:is>
          <x:t xml:space="preserve">Cost of Sales</x:t>
        </x:is>
      </x:c>
      <x:c r="AA23" s="5" t="inlineStr">
        <x:is>
          <x:t xml:space="preserve">COS-01</x:t>
        </x:is>
      </x:c>
      <x:c r="AB23" s="5" t="inlineStr">
        <x:is>
          <x:t xml:space="preserve">Yes</x:t>
        </x:is>
      </x:c>
      <x:c r="AC23" s="5" t="inlineStr">
        <x:is>
          <x:t xml:space="preserve">Imported</x:t>
        </x:is>
      </x:c>
      <x:c r="AD23" s="10" t="n">
        <x:v>100</x:v>
      </x:c>
      <x:c r="AE23" s="5" t="inlineStr">
        <x:is>
          <x:t xml:space="preserve">No</x:t>
        </x:is>
      </x:c>
      <x:c r="AF23" s="5" t="inlineStr">
        <x:is>
          <x:t xml:space="preserve"/>
        </x:is>
      </x:c>
      <x:c r="AG23" s="5" t="inlineStr">
        <x:is>
          <x:t xml:space="preserve">Associate 1</x:t>
        </x:is>
      </x:c>
      <x:c r="AH23" s="5" t="inlineStr">
        <x:is>
          <x:t xml:space="preserve">Manager 1</x:t>
        </x:is>
      </x:c>
      <x:c r="AI23" s="5" t="inlineStr">
        <x:is>
          <x:t xml:space="preserve">Partner 1</x:t>
        </x:is>
      </x:c>
      <x:c r="AJ23" s="24" t="n">
        <x:v>46116.375</x:v>
      </x:c>
    </x:row>
    <x:row r="24">
      <x:c r="A24" s="5" t="inlineStr">
        <x:is>
          <x:t xml:space="preserve">610101</x:t>
        </x:is>
      </x:c>
      <x:c r="B24" s="5" t="inlineStr">
        <x:is>
          <x:t xml:space="preserve">6101</x:t>
        </x:is>
      </x:c>
      <x:c r="C24" s="5" t="inlineStr">
        <x:is>
          <x:t xml:space="preserve">Salaries &amp; Wages</x:t>
        </x:is>
      </x:c>
      <x:c r="D24" s="5" t="inlineStr">
        <x:is>
          <x:t xml:space="preserve">Administrative Expenses</x:t>
        </x:is>
      </x:c>
      <x:c r="E24" s="5" t="inlineStr">
        <x:is>
          <x:t xml:space="preserve">Administrative Expenses</x:t>
        </x:is>
      </x:c>
      <x:c r="F24" s="5" t="inlineStr">
        <x:is>
          <x:t xml:space="preserve">Expense</x:t>
        </x:is>
      </x:c>
      <x:c r="G24" s="5" t="inlineStr">
        <x:is>
          <x:t xml:space="preserve">Debit</x:t>
        </x:is>
      </x:c>
      <x:c r="H24" s="5" t="inlineStr">
        <x:is>
          <x:t xml:space="preserve">All</x:t>
        </x:is>
      </x:c>
      <x:c r="I24" s="5" t="inlineStr">
        <x:is>
          <x:t xml:space="preserve">All</x:t>
        </x:is>
      </x:c>
      <x:c r="J24" s="5" t="inlineStr">
        <x:is>
          <x:t xml:space="preserve">IAS 19</x:t>
        </x:is>
      </x:c>
      <x:c r="K24" s="5" t="inlineStr">
        <x:is>
          <x:t xml:space="preserve">Normal</x:t>
        </x:is>
      </x:c>
      <x:c r="L24" s="5" t="inlineStr">
        <x:is>
          <x:t xml:space="preserve">No</x:t>
        </x:is>
      </x:c>
      <x:c r="M24" s="5" t="inlineStr">
        <x:is>
          <x:t xml:space="preserve">No</x:t>
        </x:is>
      </x:c>
      <x:c r="N24" s="10" t="n">
        <x:v>0</x:v>
      </x:c>
      <x:c r="O24" s="12">
        <x:f>IF(A24="","",SUMIFS(Journal_Import!$S:$S,Journal_Import!$I:$I,A24))</x:f>
        <x:v>150000</x:v>
      </x:c>
      <x:c r="P24" s="12">
        <x:f>IF(A24="","",SUMIFS(Journal_Import!$T:$T,Journal_Import!$I:$I,A24))</x:f>
        <x:v>0</x:v>
      </x:c>
      <x:c r="Q24" s="12">
        <x:f>IF(A24="","",IF(G24="Debit",N24+O24-P24,N24-O24+P24))</x:f>
        <x:v>150000</x:v>
      </x:c>
      <x:c r="R24" s="10" t="n">
        <x:v>0</x:v>
      </x:c>
      <x:c r="S24" s="12">
        <x:f>IF(A24="","",Q24-R24)</x:f>
        <x:v>150000</x:v>
      </x:c>
      <x:c r="T24" s="5" t="inlineStr">
        <x:is>
          <x:t xml:space="preserve">Medium</x:t>
        </x:is>
      </x:c>
      <x:c r="U24" s="5" t="inlineStr">
        <x:is>
          <x:t xml:space="preserve">Medium</x:t>
        </x:is>
      </x:c>
      <x:c r="V24" s="5" t="inlineStr">
        <x:is>
          <x:t xml:space="preserve">Occurrence,Accuracy,Cut-off</x:t>
        </x:is>
      </x:c>
      <x:c r="W24" s="5" t="inlineStr">
        <x:is>
          <x:t xml:space="preserve">No</x:t>
        </x:is>
      </x:c>
      <x:c r="X24" s="5" t="inlineStr">
        <x:is>
          <x:t xml:space="preserve">Operating</x:t>
        </x:is>
      </x:c>
      <x:c r="Y24" s="5" t="inlineStr">
        <x:is>
          <x:t xml:space="preserve">GL-610101</x:t>
        </x:is>
      </x:c>
      <x:c r="Z24" s="5" t="inlineStr">
        <x:is>
          <x:t xml:space="preserve">Administrative Expenses</x:t>
        </x:is>
      </x:c>
      <x:c r="AA24" s="5" t="inlineStr">
        <x:is>
          <x:t xml:space="preserve">EXP-01</x:t>
        </x:is>
      </x:c>
      <x:c r="AB24" s="5" t="inlineStr">
        <x:is>
          <x:t xml:space="preserve">Yes</x:t>
        </x:is>
      </x:c>
      <x:c r="AC24" s="5" t="inlineStr">
        <x:is>
          <x:t xml:space="preserve">Imported</x:t>
        </x:is>
      </x:c>
      <x:c r="AD24" s="10" t="n">
        <x:v>100</x:v>
      </x:c>
      <x:c r="AE24" s="5" t="inlineStr">
        <x:is>
          <x:t xml:space="preserve">No</x:t>
        </x:is>
      </x:c>
      <x:c r="AF24" s="5" t="inlineStr">
        <x:is>
          <x:t xml:space="preserve"/>
        </x:is>
      </x:c>
      <x:c r="AG24" s="5" t="inlineStr">
        <x:is>
          <x:t xml:space="preserve">Associate 1</x:t>
        </x:is>
      </x:c>
      <x:c r="AH24" s="5" t="inlineStr">
        <x:is>
          <x:t xml:space="preserve">Manager 1</x:t>
        </x:is>
      </x:c>
      <x:c r="AI24" s="5" t="inlineStr">
        <x:is>
          <x:t xml:space="preserve">Partner 1</x:t>
        </x:is>
      </x:c>
      <x:c r="AJ24" s="24" t="n">
        <x:v>46116.375</x:v>
      </x:c>
    </x:row>
    <x:row r="25">
      <x:c r="A25" s="5" t="inlineStr">
        <x:is>
          <x:t xml:space="preserve">710101</x:t>
        </x:is>
      </x:c>
      <x:c r="B25" s="5" t="inlineStr">
        <x:is>
          <x:t xml:space="preserve">7101</x:t>
        </x:is>
      </x:c>
      <x:c r="C25" s="5" t="inlineStr">
        <x:is>
          <x:t xml:space="preserve">Interest Expense</x:t>
        </x:is>
      </x:c>
      <x:c r="D25" s="5" t="inlineStr">
        <x:is>
          <x:t xml:space="preserve">Finance Costs</x:t>
        </x:is>
      </x:c>
      <x:c r="E25" s="5" t="inlineStr">
        <x:is>
          <x:t xml:space="preserve">Finance Costs</x:t>
        </x:is>
      </x:c>
      <x:c r="F25" s="5" t="inlineStr">
        <x:is>
          <x:t xml:space="preserve">Expense</x:t>
        </x:is>
      </x:c>
      <x:c r="G25" s="5" t="inlineStr">
        <x:is>
          <x:t xml:space="preserve">Debit</x:t>
        </x:is>
      </x:c>
      <x:c r="H25" s="5" t="inlineStr">
        <x:is>
          <x:t xml:space="preserve">All</x:t>
        </x:is>
      </x:c>
      <x:c r="I25" s="5" t="inlineStr">
        <x:is>
          <x:t xml:space="preserve">All</x:t>
        </x:is>
      </x:c>
      <x:c r="J25" s="5" t="inlineStr">
        <x:is>
          <x:t xml:space="preserve">IFRS 9</x:t>
        </x:is>
      </x:c>
      <x:c r="K25" s="5" t="inlineStr">
        <x:is>
          <x:t xml:space="preserve">Disallowable</x:t>
        </x:is>
      </x:c>
      <x:c r="L25" s="5" t="inlineStr">
        <x:is>
          <x:t xml:space="preserve">No</x:t>
        </x:is>
      </x:c>
      <x:c r="M25" s="5" t="inlineStr">
        <x:is>
          <x:t xml:space="preserve">No</x:t>
        </x:is>
      </x:c>
      <x:c r="N25" s="10" t="n">
        <x:v>0</x:v>
      </x:c>
      <x:c r="O25" s="12">
        <x:f>IF(A25="","",SUMIFS(Journal_Import!$S:$S,Journal_Import!$I:$I,A25))</x:f>
        <x:v>0</x:v>
      </x:c>
      <x:c r="P25" s="12">
        <x:f>IF(A25="","",SUMIFS(Journal_Import!$T:$T,Journal_Import!$I:$I,A25))</x:f>
        <x:v>0</x:v>
      </x:c>
      <x:c r="Q25" s="12">
        <x:f>IF(A25="","",IF(G25="Debit",N25+O25-P25,N25-O25+P25))</x:f>
        <x:v>0</x:v>
      </x:c>
      <x:c r="R25" s="10" t="n">
        <x:v>0</x:v>
      </x:c>
      <x:c r="S25" s="12">
        <x:f>IF(A25="","",Q25-R25)</x:f>
        <x:v>0</x:v>
      </x:c>
      <x:c r="T25" s="5" t="inlineStr">
        <x:is>
          <x:t xml:space="preserve">Medium</x:t>
        </x:is>
      </x:c>
      <x:c r="U25" s="5" t="inlineStr">
        <x:is>
          <x:t xml:space="preserve">Medium</x:t>
        </x:is>
      </x:c>
      <x:c r="V25" s="5" t="inlineStr">
        <x:is>
          <x:t xml:space="preserve">Occurrence,Accuracy</x:t>
        </x:is>
      </x:c>
      <x:c r="W25" s="5" t="inlineStr">
        <x:is>
          <x:t xml:space="preserve">No</x:t>
        </x:is>
      </x:c>
      <x:c r="X25" s="5" t="inlineStr">
        <x:is>
          <x:t xml:space="preserve">Operating</x:t>
        </x:is>
      </x:c>
      <x:c r="Y25" s="5" t="inlineStr">
        <x:is>
          <x:t xml:space="preserve">GL-710101</x:t>
        </x:is>
      </x:c>
      <x:c r="Z25" s="5" t="inlineStr">
        <x:is>
          <x:t xml:space="preserve">Finance Costs</x:t>
        </x:is>
      </x:c>
      <x:c r="AA25" s="5" t="inlineStr">
        <x:is>
          <x:t xml:space="preserve">FIN-01</x:t>
        </x:is>
      </x:c>
      <x:c r="AB25" s="5" t="inlineStr">
        <x:is>
          <x:t xml:space="preserve">Yes</x:t>
        </x:is>
      </x:c>
      <x:c r="AC25" s="5" t="inlineStr">
        <x:is>
          <x:t xml:space="preserve">Imported</x:t>
        </x:is>
      </x:c>
      <x:c r="AD25" s="10" t="n">
        <x:v>100</x:v>
      </x:c>
      <x:c r="AE25" s="5" t="inlineStr">
        <x:is>
          <x:t xml:space="preserve">No</x:t>
        </x:is>
      </x:c>
      <x:c r="AF25" s="5" t="inlineStr">
        <x:is>
          <x:t xml:space="preserve"/>
        </x:is>
      </x:c>
      <x:c r="AG25" s="5" t="inlineStr">
        <x:is>
          <x:t xml:space="preserve">Associate 1</x:t>
        </x:is>
      </x:c>
      <x:c r="AH25" s="5" t="inlineStr">
        <x:is>
          <x:t xml:space="preserve">Manager 1</x:t>
        </x:is>
      </x:c>
      <x:c r="AI25" s="5" t="inlineStr">
        <x:is>
          <x:t xml:space="preserve">Partner 1</x:t>
        </x:is>
      </x:c>
      <x:c r="AJ25" s="24" t="n">
        <x:v>46116.375</x:v>
      </x:c>
    </x:row>
  </x:sheetData>
  <x:mergeCells>
    <x:mergeCell ref="A2:AJ2"/>
    <x:mergeCell ref="B3:F3"/>
    <x:mergeCell ref="A1:AJ1"/>
  </x:mergeCells>
  <x:conditionalFormatting sqref="AE5:AE325">
    <x:cfRule type="expression" dxfId="0" priority="1">
      <x:formula>$AE5="Yes"</x:formula>
    </x:cfRule>
  </x:conditionalFormatting>
  <x:conditionalFormatting sqref="AD5:AD325">
    <x:cfRule type="cellIs" dxfId="0" priority="2" operator="lessThan">
      <x:formula>85</x:formula>
    </x:cfRule>
  </x:conditionalFormatting>
  <x:dataValidations count="13">
    <x:dataValidation type="list" allowBlank="1" showDropDown="0" showInputMessage="0" showErrorMessage="0" sqref="D5:D325">
      <x:formula1>=Lists_Ref!$A$69:$A$81</x:formula1>
    </x:dataValidation>
    <x:dataValidation type="list" allowBlank="1" showDropDown="0" showInputMessage="0" showErrorMessage="0" sqref="F5:F325">
      <x:formula1>=Lists_Ref!$A$57:$A$62</x:formula1>
    </x:dataValidation>
    <x:dataValidation type="list" allowBlank="1" showDropDown="0" showInputMessage="0" showErrorMessage="0" sqref="G5:G325">
      <x:formula1>=Lists_Ref!$A$65:$A$66</x:formula1>
    </x:dataValidation>
    <x:dataValidation type="list" allowBlank="1" showDropDown="0" showInputMessage="0" showErrorMessage="0" sqref="K5:K325">
      <x:formula1>=Lists_Ref!$A$84:$A$93</x:formula1>
    </x:dataValidation>
    <x:dataValidation type="list" allowBlank="1" showDropDown="0" showInputMessage="0" showErrorMessage="0" sqref="L5:L325">
      <x:formula1>=Lists_Ref!$A$96:$A$97</x:formula1>
    </x:dataValidation>
    <x:dataValidation type="list" allowBlank="1" showDropDown="0" showInputMessage="0" showErrorMessage="0" sqref="M5:M325">
      <x:formula1>=Lists_Ref!$A$96:$A$97</x:formula1>
    </x:dataValidation>
    <x:dataValidation type="list" allowBlank="1" showDropDown="0" showInputMessage="0" showErrorMessage="0" sqref="T5:T325">
      <x:formula1>=Lists_Ref!$A$106:$A$108</x:formula1>
    </x:dataValidation>
    <x:dataValidation type="list" allowBlank="1" showDropDown="0" showInputMessage="0" showErrorMessage="0" sqref="U5:U325">
      <x:formula1>=Lists_Ref!$A$100:$A$103</x:formula1>
    </x:dataValidation>
    <x:dataValidation type="list" allowBlank="1" showDropDown="0" showInputMessage="0" showErrorMessage="0" sqref="W5:W325">
      <x:formula1>=Lists_Ref!$A$96:$A$97</x:formula1>
    </x:dataValidation>
    <x:dataValidation type="list" allowBlank="1" showDropDown="0" showInputMessage="0" showErrorMessage="0" sqref="X5:X325">
      <x:formula1>=Lists_Ref!$A$111:$A$115</x:formula1>
    </x:dataValidation>
    <x:dataValidation type="list" allowBlank="1" showDropDown="0" showInputMessage="0" showErrorMessage="0" sqref="AB5:AB325">
      <x:formula1>=Lists_Ref!$A$96:$A$97</x:formula1>
    </x:dataValidation>
    <x:dataValidation type="list" allowBlank="1" showDropDown="0" showInputMessage="0" showErrorMessage="0" sqref="AC5:AC325">
      <x:formula1>=Lists_Ref!$A$118:$A$122</x:formula1>
    </x:dataValidation>
    <x:dataValidation type="list" allowBlank="1" showDropDown="0" showInputMessage="0" showErrorMessage="0" sqref="AE5:AE325">
      <x:formula1>=Lists_Ref!$A$96:$A$97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7ddb7e2414490e"/>
  </x:tableParts>
</x:worksheet>
</file>

<file path=xl/worksheets/sheet5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5" customWidth="1"/>
    <x:col min="2" max="2" width="15" customWidth="1"/>
    <x:col min="3" max="3" width="22" customWidth="1"/>
    <x:col min="4" max="4" width="22" customWidth="1"/>
    <x:col min="5" max="5" width="12" customWidth="1"/>
    <x:col min="6" max="6" width="22" customWidth="1"/>
    <x:col min="7" max="7" width="22" customWidth="1"/>
    <x:col min="8" max="8" width="22" customWidth="1"/>
    <x:col min="9" max="9" width="15" customWidth="1"/>
    <x:col min="10" max="10" width="15" customWidth="1"/>
    <x:col min="11" max="11" width="12" customWidth="1"/>
    <x:col min="12" max="12" width="17" customWidth="1"/>
    <x:col min="13" max="13" width="19" customWidth="1"/>
    <x:col min="14" max="14" width="15" customWidth="1"/>
    <x:col min="15" max="15" width="17" customWidth="1"/>
    <x:col min="16" max="16" width="18" customWidth="1"/>
    <x:col min="17" max="17" width="16" customWidth="1"/>
    <x:col min="18" max="18" width="28" customWidth="1"/>
  </x:cols>
  <x:sheetData>
    <x:row r="1" ht="24" customHeight="1">
      <x:c r="A1" s="1" t="inlineStr">
        <x:is>
          <x:t xml:space="preserve">FS_Extraction_Staging</x:t>
        </x:is>
      </x:c>
    </x:row>
    <x:row r="2" ht="36" customHeight="1">
      <x:c r="A2" s="2" t="inlineStr">
        <x:is>
          <x:t xml:space="preserve">Fields in blue are intended for user or backend inputs. Black text cells are formulas. Review orange-highlighted items before finalization.</x:t>
        </x:is>
      </x:c>
    </x:row>
    <x:row r="4" ht="30" customHeight="1">
      <x:c r="A4" s="4" t="inlineStr">
        <x:is>
          <x:t xml:space="preserve">Extraction_ID</x:t>
        </x:is>
      </x:c>
      <x:c r="B4" s="4" t="inlineStr">
        <x:is>
          <x:t xml:space="preserve">Engagement_ID</x:t>
        </x:is>
      </x:c>
      <x:c r="C4" s="4" t="inlineStr">
        <x:is>
          <x:t xml:space="preserve">Source_File_Name</x:t>
        </x:is>
      </x:c>
      <x:c r="D4" s="4" t="inlineStr">
        <x:is>
          <x:t xml:space="preserve">Source_File_Type</x:t>
        </x:is>
      </x:c>
      <x:c r="E4" s="4" t="inlineStr">
        <x:is>
          <x:t xml:space="preserve">Page_No</x:t>
        </x:is>
      </x:c>
      <x:c r="F4" s="4" t="inlineStr">
        <x:is>
          <x:t xml:space="preserve">Statement_Type</x:t>
        </x:is>
      </x:c>
      <x:c r="G4" s="4" t="inlineStr">
        <x:is>
          <x:t xml:space="preserve">Section_Name</x:t>
        </x:is>
      </x:c>
      <x:c r="H4" s="4" t="inlineStr">
        <x:is>
          <x:t xml:space="preserve">Line_Item_Text</x:t>
        </x:is>
      </x:c>
      <x:c r="I4" s="4" t="inlineStr">
        <x:is>
          <x:t xml:space="preserve">Amount_Current</x:t>
        </x:is>
      </x:c>
      <x:c r="J4" s="4" t="inlineStr">
        <x:is>
          <x:t xml:space="preserve">Amount_Prior</x:t>
        </x:is>
      </x:c>
      <x:c r="K4" s="4" t="inlineStr">
        <x:is>
          <x:t xml:space="preserve">Currency</x:t>
        </x:is>
      </x:c>
      <x:c r="L4" s="4" t="inlineStr">
        <x:is>
          <x:t xml:space="preserve">Sign_Convention</x:t>
        </x:is>
      </x:c>
      <x:c r="M4" s="4" t="inlineStr">
        <x:is>
          <x:t xml:space="preserve">Extraction_Method</x:t>
        </x:is>
      </x:c>
      <x:c r="N4" s="4" t="inlineStr">
        <x:is>
          <x:t xml:space="preserve">Confidence_Score</x:t>
        </x:is>
      </x:c>
      <x:c r="O4" s="4" t="inlineStr">
        <x:is>
          <x:t xml:space="preserve">Normalized_Text</x:t>
        </x:is>
      </x:c>
      <x:c r="P4" s="4" t="inlineStr">
        <x:is>
          <x:t xml:space="preserve">Capture_Timestamp</x:t>
        </x:is>
      </x:c>
      <x:c r="Q4" s="4" t="inlineStr">
        <x:is>
          <x:t xml:space="preserve">Exception_Flag</x:t>
        </x:is>
      </x:c>
      <x:c r="R4" s="4" t="inlineStr">
        <x:is>
          <x:t xml:space="preserve">Notes</x:t>
        </x:is>
      </x:c>
    </x:row>
    <x:row r="5" ht="20" customHeight="1">
      <x:c r="A5" s="5" t="inlineStr">
        <x:is>
          <x:t xml:space="preserve">EXT-001</x:t>
        </x:is>
      </x:c>
      <x:c r="B5" s="5" t="inlineStr">
        <x:is>
          <x:t xml:space="preserve">ENG-001</x:t>
        </x:is>
      </x:c>
      <x:c r="C5" s="5" t="inlineStr">
        <x:is>
          <x:t xml:space="preserve">ABC_FS_2025.pdf</x:t>
        </x:is>
      </x:c>
      <x:c r="D5" s="5" t="inlineStr">
        <x:is>
          <x:t xml:space="preserve">PDF</x:t>
        </x:is>
      </x:c>
      <x:c r="E5" s="10" t="n">
        <x:v>3</x:v>
      </x:c>
      <x:c r="F5" s="5" t="inlineStr">
        <x:is>
          <x:t xml:space="preserve">Statement of Financial Position</x:t>
        </x:is>
      </x:c>
      <x:c r="G5" s="5" t="inlineStr">
        <x:is>
          <x:t xml:space="preserve">Current Assets</x:t>
        </x:is>
      </x:c>
      <x:c r="H5" s="5" t="inlineStr">
        <x:is>
          <x:t xml:space="preserve">Trade Receivables</x:t>
        </x:is>
      </x:c>
      <x:c r="I5" s="10" t="n">
        <x:v>1700000</x:v>
      </x:c>
      <x:c r="J5" s="10" t="n">
        <x:v>1300000</x:v>
      </x:c>
      <x:c r="K5" s="5" t="inlineStr">
        <x:is>
          <x:t xml:space="preserve">PKR</x:t>
        </x:is>
      </x:c>
      <x:c r="L5" s="5" t="inlineStr">
        <x:is>
          <x:t xml:space="preserve">As Presented</x:t>
        </x:is>
      </x:c>
      <x:c r="M5" s="5" t="inlineStr">
        <x:is>
          <x:t xml:space="preserve">OCR</x:t>
        </x:is>
      </x:c>
      <x:c r="N5" s="10" t="n">
        <x:v>96</x:v>
      </x:c>
      <x:c r="O5" s="5" t="inlineStr">
        <x:is>
          <x:t xml:space="preserve">Trade Receivables</x:t>
        </x:is>
      </x:c>
      <x:c r="P5" s="24" t="n">
        <x:v>46116.38541666666</x:v>
      </x:c>
      <x:c r="Q5" s="5" t="inlineStr">
        <x:is>
          <x:t xml:space="preserve">No</x:t>
        </x:is>
      </x:c>
      <x:c r="R5" s="5" t="inlineStr">
        <x:is>
          <x:t xml:space="preserve"/>
        </x:is>
      </x:c>
    </x:row>
    <x:row r="6" ht="20" customHeight="1">
      <x:c r="A6" s="5" t="inlineStr">
        <x:is>
          <x:t xml:space="preserve">EXT-002</x:t>
        </x:is>
      </x:c>
      <x:c r="B6" s="5" t="inlineStr">
        <x:is>
          <x:t xml:space="preserve">ENG-001</x:t>
        </x:is>
      </x:c>
      <x:c r="C6" s="5" t="inlineStr">
        <x:is>
          <x:t xml:space="preserve">ABC_FS_2025.pdf</x:t>
        </x:is>
      </x:c>
      <x:c r="D6" s="5" t="inlineStr">
        <x:is>
          <x:t xml:space="preserve">PDF</x:t>
        </x:is>
      </x:c>
      <x:c r="E6" s="10" t="n">
        <x:v>3</x:v>
      </x:c>
      <x:c r="F6" s="5" t="inlineStr">
        <x:is>
          <x:t xml:space="preserve">Statement of Financial Position</x:t>
        </x:is>
      </x:c>
      <x:c r="G6" s="5" t="inlineStr">
        <x:is>
          <x:t xml:space="preserve">Current Assets</x:t>
        </x:is>
      </x:c>
      <x:c r="H6" s="5" t="inlineStr">
        <x:is>
          <x:t xml:space="preserve">Inventories</x:t>
        </x:is>
      </x:c>
      <x:c r="I6" s="10" t="n">
        <x:v>3900000</x:v>
      </x:c>
      <x:c r="J6" s="10" t="n">
        <x:v>3000000</x:v>
      </x:c>
      <x:c r="K6" s="5" t="inlineStr">
        <x:is>
          <x:t xml:space="preserve">PKR</x:t>
        </x:is>
      </x:c>
      <x:c r="L6" s="5" t="inlineStr">
        <x:is>
          <x:t xml:space="preserve">As Presented</x:t>
        </x:is>
      </x:c>
      <x:c r="M6" s="5" t="inlineStr">
        <x:is>
          <x:t xml:space="preserve">OCR</x:t>
        </x:is>
      </x:c>
      <x:c r="N6" s="10" t="n">
        <x:v>95</x:v>
      </x:c>
      <x:c r="O6" s="5" t="inlineStr">
        <x:is>
          <x:t xml:space="preserve">Inventories</x:t>
        </x:is>
      </x:c>
      <x:c r="P6" s="24" t="n">
        <x:v>46116.38541666666</x:v>
      </x:c>
      <x:c r="Q6" s="5" t="inlineStr">
        <x:is>
          <x:t xml:space="preserve">No</x:t>
        </x:is>
      </x:c>
      <x:c r="R6" s="5" t="inlineStr">
        <x:is>
          <x:t xml:space="preserve"/>
        </x:is>
      </x:c>
    </x:row>
    <x:row r="7" ht="20" customHeight="1">
      <x:c r="A7" s="5" t="inlineStr">
        <x:is>
          <x:t xml:space="preserve">EXT-003</x:t>
        </x:is>
      </x:c>
      <x:c r="B7" s="5" t="inlineStr">
        <x:is>
          <x:t xml:space="preserve">ENG-001</x:t>
        </x:is>
      </x:c>
      <x:c r="C7" s="5" t="inlineStr">
        <x:is>
          <x:t xml:space="preserve">ABC_FS_2025.pdf</x:t>
        </x:is>
      </x:c>
      <x:c r="D7" s="5" t="inlineStr">
        <x:is>
          <x:t xml:space="preserve">PDF</x:t>
        </x:is>
      </x:c>
      <x:c r="E7" s="10" t="n">
        <x:v>4</x:v>
      </x:c>
      <x:c r="F7" s="5" t="inlineStr">
        <x:is>
          <x:t xml:space="preserve">Statement of Profit or Loss</x:t>
        </x:is>
      </x:c>
      <x:c r="G7" s="5" t="inlineStr">
        <x:is>
          <x:t xml:space="preserve">Revenue</x:t>
        </x:is>
      </x:c>
      <x:c r="H7" s="5" t="inlineStr">
        <x:is>
          <x:t xml:space="preserve">Revenue from contracts with customers</x:t>
        </x:is>
      </x:c>
      <x:c r="I7" s="10" t="n">
        <x:v>500000</x:v>
      </x:c>
      <x:c r="J7" s="10" t="n">
        <x:v>0</x:v>
      </x:c>
      <x:c r="K7" s="5" t="inlineStr">
        <x:is>
          <x:t xml:space="preserve">PKR</x:t>
        </x:is>
      </x:c>
      <x:c r="L7" s="5" t="inlineStr">
        <x:is>
          <x:t xml:space="preserve">As Presented</x:t>
        </x:is>
      </x:c>
      <x:c r="M7" s="5" t="inlineStr">
        <x:is>
          <x:t xml:space="preserve">OCR</x:t>
        </x:is>
      </x:c>
      <x:c r="N7" s="10" t="n">
        <x:v>94</x:v>
      </x:c>
      <x:c r="O7" s="5" t="inlineStr">
        <x:is>
          <x:t xml:space="preserve">Revenue</x:t>
        </x:is>
      </x:c>
      <x:c r="P7" s="24" t="n">
        <x:v>46116.38541666666</x:v>
      </x:c>
      <x:c r="Q7" s="5" t="inlineStr">
        <x:is>
          <x:t xml:space="preserve">No</x:t>
        </x:is>
      </x:c>
      <x:c r="R7" s="5" t="inlineStr">
        <x:is>
          <x:t xml:space="preserve"/>
        </x:is>
      </x:c>
    </x:row>
  </x:sheetData>
  <x:mergeCells>
    <x:mergeCell ref="A2:R2"/>
    <x:mergeCell ref="A1:R1"/>
  </x:mergeCells>
  <x:conditionalFormatting sqref="Q5:Q307">
    <x:cfRule type="expression" dxfId="0" priority="1">
      <x:formula>$Q5="Yes"</x:formula>
    </x:cfRule>
  </x:conditionalFormatting>
  <x:conditionalFormatting sqref="N5:N307">
    <x:cfRule type="cellIs" dxfId="0" priority="2" operator="lessThan">
      <x:formula>85</x:formula>
    </x:cfRule>
  </x:conditionalFormatting>
  <x:dataValidations count="4">
    <x:dataValidation type="list" allowBlank="1" showDropDown="0" showInputMessage="0" showErrorMessage="0" sqref="F5:F307">
      <x:formula1>=Lists_Ref!$A$143:$A$149</x:formula1>
    </x:dataValidation>
    <x:dataValidation type="list" allowBlank="1" showDropDown="0" showInputMessage="0" showErrorMessage="0" sqref="L5:L307">
      <x:formula1>=Lists_Ref!$A$213:$A$217</x:formula1>
    </x:dataValidation>
    <x:dataValidation type="list" allowBlank="1" showDropDown="0" showInputMessage="0" showErrorMessage="0" sqref="M5:M307">
      <x:formula1>=Lists_Ref!$A$118:$A$122</x:formula1>
    </x:dataValidation>
    <x:dataValidation type="list" allowBlank="1" showDropDown="0" showInputMessage="0" showErrorMessage="0" sqref="Q5:Q307">
      <x:formula1>=Lists_Ref!$A$96:$A$97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bf0f98563a4fb9"/>
  </x:tableParts>
</x:worksheet>
</file>

<file path=xl/worksheets/sheet6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2" customWidth="1"/>
    <x:col min="2" max="2" width="15" customWidth="1"/>
    <x:col min="3" max="3" width="15" customWidth="1"/>
    <x:col min="4" max="4" width="22" customWidth="1"/>
    <x:col min="5" max="5" width="22" customWidth="1"/>
    <x:col min="6" max="6" width="12" customWidth="1"/>
    <x:col min="7" max="7" width="15" customWidth="1"/>
    <x:col min="8" max="8" width="15" customWidth="1"/>
    <x:col min="9" max="9" width="14" customWidth="1"/>
    <x:col min="10" max="10" width="22" customWidth="1"/>
    <x:col min="11" max="11" width="22" customWidth="1"/>
    <x:col min="12" max="12" width="16" customWidth="1"/>
    <x:col min="13" max="13" width="20" customWidth="1"/>
    <x:col min="14" max="14" width="21" customWidth="1"/>
    <x:col min="15" max="15" width="16" customWidth="1"/>
    <x:col min="16" max="16" width="15" customWidth="1"/>
  </x:cols>
  <x:sheetData>
    <x:row r="1" ht="24" customHeight="1">
      <x:c r="A1" s="1" t="inlineStr">
        <x:is>
          <x:t xml:space="preserve">FS_Mapping</x:t>
        </x:is>
      </x:c>
    </x:row>
    <x:row r="2" ht="36" customHeight="1">
      <x:c r="A2" s="2" t="inlineStr">
        <x:is>
          <x:t xml:space="preserve">Fields in blue are intended for user or backend inputs. Black text cells are formulas. Review orange-highlighted items before finalization.</x:t>
        </x:is>
      </x:c>
    </x:row>
    <x:row r="4" ht="30" customHeight="1">
      <x:c r="A4" s="4" t="inlineStr">
        <x:is>
          <x:t xml:space="preserve">Mapping_ID</x:t>
        </x:is>
      </x:c>
      <x:c r="B4" s="4" t="inlineStr">
        <x:is>
          <x:t xml:space="preserve">Extraction_ID</x:t>
        </x:is>
      </x:c>
      <x:c r="C4" s="4" t="inlineStr">
        <x:is>
          <x:t xml:space="preserve">Engagement_ID</x:t>
        </x:is>
      </x:c>
      <x:c r="D4" s="4" t="inlineStr">
        <x:is>
          <x:t xml:space="preserve">Statement_Type</x:t>
        </x:is>
      </x:c>
      <x:c r="E4" s="4" t="inlineStr">
        <x:is>
          <x:t xml:space="preserve">FS_Line_Item</x:t>
        </x:is>
      </x:c>
      <x:c r="F4" s="4" t="inlineStr">
        <x:is>
          <x:t xml:space="preserve">FS_Note_No</x:t>
        </x:is>
      </x:c>
      <x:c r="G4" s="4" t="inlineStr">
        <x:is>
          <x:t xml:space="preserve">Current_Amount</x:t>
        </x:is>
      </x:c>
      <x:c r="H4" s="4" t="inlineStr">
        <x:is>
          <x:t xml:space="preserve">Prior_Amount</x:t>
        </x:is>
      </x:c>
      <x:c r="I4" s="4" t="inlineStr">
        <x:is>
          <x:t xml:space="preserve">Account_Code</x:t>
        </x:is>
      </x:c>
      <x:c r="J4" s="4" t="inlineStr">
        <x:is>
          <x:t xml:space="preserve">Account_Name</x:t>
        </x:is>
      </x:c>
      <x:c r="K4" s="4" t="inlineStr">
        <x:is>
          <x:t xml:space="preserve">Mapping_FS_Line</x:t>
        </x:is>
      </x:c>
      <x:c r="L4" s="4" t="inlineStr">
        <x:is>
          <x:t xml:space="preserve">Mapping_Method</x:t>
        </x:is>
      </x:c>
      <x:c r="M4" s="4" t="inlineStr">
        <x:is>
          <x:t xml:space="preserve">Mapping_Confidence</x:t>
        </x:is>
      </x:c>
      <x:c r="N4" s="4" t="inlineStr">
        <x:is>
          <x:t xml:space="preserve">Reconciliation_Flag</x:t>
        </x:is>
      </x:c>
      <x:c r="O4" s="4" t="inlineStr">
        <x:is>
          <x:t xml:space="preserve">Exception_Flag</x:t>
        </x:is>
      </x:c>
      <x:c r="P4" s="4" t="inlineStr">
        <x:is>
          <x:t xml:space="preserve">Reviewer_Note</x:t>
        </x:is>
      </x:c>
    </x:row>
    <x:row r="5" ht="20" customHeight="1">
      <x:c r="A5" s="5" t="inlineStr">
        <x:is>
          <x:t xml:space="preserve">MAP-001</x:t>
        </x:is>
      </x:c>
      <x:c r="B5" s="5" t="inlineStr">
        <x:is>
          <x:t xml:space="preserve">EXT-001</x:t>
        </x:is>
      </x:c>
      <x:c r="C5" s="5" t="inlineStr">
        <x:is>
          <x:t xml:space="preserve">ENG-001</x:t>
        </x:is>
      </x:c>
      <x:c r="D5" s="5" t="inlineStr">
        <x:is>
          <x:t xml:space="preserve">Statement of Financial Position</x:t>
        </x:is>
      </x:c>
      <x:c r="E5" s="5" t="inlineStr">
        <x:is>
          <x:t xml:space="preserve">Trade Receivables</x:t>
        </x:is>
      </x:c>
      <x:c r="F5" s="5" t="inlineStr">
        <x:is>
          <x:t xml:space="preserve">6</x:t>
        </x:is>
      </x:c>
      <x:c r="G5" s="10" t="n">
        <x:v>1700000</x:v>
      </x:c>
      <x:c r="H5" s="10" t="n">
        <x:v>1300000</x:v>
      </x:c>
      <x:c r="I5" s="5" t="inlineStr">
        <x:is>
          <x:t xml:space="preserve">152101</x:t>
        </x:is>
      </x:c>
      <x:c r="J5" s="12" t="str">
        <x:f>IF(I5="","",IFERROR(INDEX(COA_Master!$C:$C,MATCH(I5,COA_Master!$A:$A,0)),""))</x:f>
        <x:v>Cash at Bank</x:v>
      </x:c>
      <x:c r="K5" s="5" t="inlineStr">
        <x:is>
          <x:t xml:space="preserve">Trade Receivables</x:t>
        </x:is>
      </x:c>
      <x:c r="L5" s="5" t="inlineStr">
        <x:is>
          <x:t xml:space="preserve">AI Assisted</x:t>
        </x:is>
      </x:c>
      <x:c r="M5" s="10" t="n">
        <x:v>96</x:v>
      </x:c>
      <x:c r="N5" s="5" t="inlineStr">
        <x:is>
          <x:t xml:space="preserve">Yes</x:t>
        </x:is>
      </x:c>
      <x:c r="O5" s="5" t="inlineStr">
        <x:is>
          <x:t xml:space="preserve">No</x:t>
        </x:is>
      </x:c>
      <x:c r="P5" s="5" t="inlineStr">
        <x:is>
          <x:t xml:space="preserve"/>
        </x:is>
      </x:c>
    </x:row>
    <x:row r="6" ht="20" customHeight="1">
      <x:c r="A6" s="5" t="inlineStr">
        <x:is>
          <x:t xml:space="preserve">MAP-002</x:t>
        </x:is>
      </x:c>
      <x:c r="B6" s="5" t="inlineStr">
        <x:is>
          <x:t xml:space="preserve">EXT-002</x:t>
        </x:is>
      </x:c>
      <x:c r="C6" s="5" t="inlineStr">
        <x:is>
          <x:t xml:space="preserve">ENG-001</x:t>
        </x:is>
      </x:c>
      <x:c r="D6" s="5" t="inlineStr">
        <x:is>
          <x:t xml:space="preserve">Statement of Financial Position</x:t>
        </x:is>
      </x:c>
      <x:c r="E6" s="5" t="inlineStr">
        <x:is>
          <x:t xml:space="preserve">Inventories</x:t>
        </x:is>
      </x:c>
      <x:c r="F6" s="5" t="inlineStr">
        <x:is>
          <x:t xml:space="preserve">7</x:t>
        </x:is>
      </x:c>
      <x:c r="G6" s="10" t="n">
        <x:v>2400000</x:v>
      </x:c>
      <x:c r="H6" s="10" t="n">
        <x:v>1800000</x:v>
      </x:c>
      <x:c r="I6" s="5" t="inlineStr">
        <x:is>
          <x:t xml:space="preserve">151101</x:t>
        </x:is>
      </x:c>
      <x:c r="J6" s="12" t="str">
        <x:f>IF(I6="","",IFERROR(INDEX(COA_Master!$C:$C,MATCH(I6,COA_Master!$A:$A,0)),""))</x:f>
        <x:v>Prepaid Expenses</x:v>
      </x:c>
      <x:c r="K6" s="5" t="inlineStr">
        <x:is>
          <x:t xml:space="preserve">Inventories</x:t>
        </x:is>
      </x:c>
      <x:c r="L6" s="5" t="inlineStr">
        <x:is>
          <x:t xml:space="preserve">Rules Engine</x:t>
        </x:is>
      </x:c>
      <x:c r="M6" s="10" t="n">
        <x:v>90</x:v>
      </x:c>
      <x:c r="N6" s="5" t="inlineStr">
        <x:is>
          <x:t xml:space="preserve">No</x:t>
        </x:is>
      </x:c>
      <x:c r="O6" s="5" t="inlineStr">
        <x:is>
          <x:t xml:space="preserve">Yes</x:t>
        </x:is>
      </x:c>
      <x:c r="P6" s="5" t="inlineStr">
        <x:is>
          <x:t xml:space="preserve">Inventory split required between RM and FG</x:t>
        </x:is>
      </x:c>
    </x:row>
    <x:row r="7" ht="20" customHeight="1">
      <x:c r="A7" s="5" t="inlineStr">
        <x:is>
          <x:t xml:space="preserve">MAP-003</x:t>
        </x:is>
      </x:c>
      <x:c r="B7" s="5" t="inlineStr">
        <x:is>
          <x:t xml:space="preserve">EXT-002</x:t>
        </x:is>
      </x:c>
      <x:c r="C7" s="5" t="inlineStr">
        <x:is>
          <x:t xml:space="preserve">ENG-001</x:t>
        </x:is>
      </x:c>
      <x:c r="D7" s="5" t="inlineStr">
        <x:is>
          <x:t xml:space="preserve">Statement of Financial Position</x:t>
        </x:is>
      </x:c>
      <x:c r="E7" s="5" t="inlineStr">
        <x:is>
          <x:t xml:space="preserve">Inventories</x:t>
        </x:is>
      </x:c>
      <x:c r="F7" s="5" t="inlineStr">
        <x:is>
          <x:t xml:space="preserve">7</x:t>
        </x:is>
      </x:c>
      <x:c r="G7" s="10" t="n">
        <x:v>1500000</x:v>
      </x:c>
      <x:c r="H7" s="10" t="n">
        <x:v>1200000</x:v>
      </x:c>
      <x:c r="I7" s="5" t="inlineStr">
        <x:is>
          <x:t xml:space="preserve">151301</x:t>
        </x:is>
      </x:c>
      <x:c r="J7" s="12" t="str">
        <x:f>IF(I7="","",IFERROR(INDEX(COA_Master!$C:$C,MATCH(I7,COA_Master!$A:$A,0)),""))</x:f>
        <x:v>Cash in Hand</x:v>
      </x:c>
      <x:c r="K7" s="5" t="inlineStr">
        <x:is>
          <x:t xml:space="preserve">Inventories</x:t>
        </x:is>
      </x:c>
      <x:c r="L7" s="5" t="inlineStr">
        <x:is>
          <x:t xml:space="preserve">Rules Engine</x:t>
        </x:is>
      </x:c>
      <x:c r="M7" s="10" t="n">
        <x:v>90</x:v>
      </x:c>
      <x:c r="N7" s="5" t="inlineStr">
        <x:is>
          <x:t xml:space="preserve">No</x:t>
        </x:is>
      </x:c>
      <x:c r="O7" s="5" t="inlineStr">
        <x:is>
          <x:t xml:space="preserve">Yes</x:t>
        </x:is>
      </x:c>
      <x:c r="P7" s="5" t="inlineStr">
        <x:is>
          <x:t xml:space="preserve">Inventory split required between RM and FG</x:t>
        </x:is>
      </x:c>
    </x:row>
    <x:row r="8" ht="20" customHeight="1">
      <x:c r="A8" s="5" t="inlineStr">
        <x:is>
          <x:t xml:space="preserve">MAP-004</x:t>
        </x:is>
      </x:c>
      <x:c r="B8" s="5" t="inlineStr">
        <x:is>
          <x:t xml:space="preserve">EXT-003</x:t>
        </x:is>
      </x:c>
      <x:c r="C8" s="5" t="inlineStr">
        <x:is>
          <x:t xml:space="preserve">ENG-001</x:t>
        </x:is>
      </x:c>
      <x:c r="D8" s="5" t="inlineStr">
        <x:is>
          <x:t xml:space="preserve">Statement of Profit or Loss</x:t>
        </x:is>
      </x:c>
      <x:c r="E8" s="5" t="inlineStr">
        <x:is>
          <x:t xml:space="preserve">Revenue</x:t>
        </x:is>
      </x:c>
      <x:c r="F8" s="5" t="n"/>
      <x:c r="G8" s="10" t="n">
        <x:v>500000</x:v>
      </x:c>
      <x:c r="H8" s="10" t="n">
        <x:v>0</x:v>
      </x:c>
      <x:c r="I8" s="5" t="inlineStr">
        <x:is>
          <x:t xml:space="preserve">410101</x:t>
        </x:is>
      </x:c>
      <x:c r="J8" s="12" t="str">
        <x:f>IF(I8="","",IFERROR(INDEX(COA_Master!$C:$C,MATCH(I8,COA_Master!$A:$A,0)),""))</x:f>
        <x:v>Salaries &amp; Wages</x:v>
      </x:c>
      <x:c r="K8" s="5" t="inlineStr">
        <x:is>
          <x:t xml:space="preserve">Revenue from Contracts with Customers</x:t>
        </x:is>
      </x:c>
      <x:c r="L8" s="5" t="inlineStr">
        <x:is>
          <x:t xml:space="preserve">Exact Match</x:t>
        </x:is>
      </x:c>
      <x:c r="M8" s="10" t="n">
        <x:v>98</x:v>
      </x:c>
      <x:c r="N8" s="5" t="inlineStr">
        <x:is>
          <x:t xml:space="preserve">Yes</x:t>
        </x:is>
      </x:c>
      <x:c r="O8" s="5" t="inlineStr">
        <x:is>
          <x:t xml:space="preserve">No</x:t>
        </x:is>
      </x:c>
      <x:c r="P8" s="5" t="inlineStr">
        <x:is>
          <x:t xml:space="preserve"/>
        </x:is>
      </x:c>
    </x:row>
  </x:sheetData>
  <x:mergeCells>
    <x:mergeCell ref="A1:P1"/>
    <x:mergeCell ref="A2:P2"/>
  </x:mergeCells>
  <x:conditionalFormatting sqref="O5:O308">
    <x:cfRule type="expression" dxfId="0" priority="1">
      <x:formula>$O5="Yes"</x:formula>
    </x:cfRule>
  </x:conditionalFormatting>
  <x:conditionalFormatting sqref="M5:M308">
    <x:cfRule type="cellIs" dxfId="0" priority="2" operator="lessThan">
      <x:formula>85</x:formula>
    </x:cfRule>
  </x:conditionalFormatting>
  <x:dataValidations count="4">
    <x:dataValidation type="list" allowBlank="1" showDropDown="0" showInputMessage="0" showErrorMessage="0" sqref="D5:D308">
      <x:formula1>=Lists_Ref!$A$143:$A$149</x:formula1>
    </x:dataValidation>
    <x:dataValidation type="list" allowBlank="1" showDropDown="0" showInputMessage="0" showErrorMessage="0" sqref="L5:L308">
      <x:formula1>=Lists_Ref!$A$152:$A$155</x:formula1>
    </x:dataValidation>
    <x:dataValidation type="list" allowBlank="1" showDropDown="0" showInputMessage="0" showErrorMessage="0" sqref="N5:N308">
      <x:formula1>=Lists_Ref!$A$96:$A$97</x:formula1>
    </x:dataValidation>
    <x:dataValidation type="list" allowBlank="1" showDropDown="0" showInputMessage="0" showErrorMessage="0" sqref="O5:O308">
      <x:formula1>=Lists_Ref!$A$96:$A$97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2ff4d5b91344b2"/>
  </x:tableParts>
</x:worksheet>
</file>

<file path=xl/worksheets/sheet7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2" customWidth="1"/>
    <x:col min="2" max="2" width="15" customWidth="1"/>
    <x:col min="3" max="3" width="12" customWidth="1"/>
    <x:col min="4" max="4" width="18" customWidth="1"/>
    <x:col min="5" max="5" width="12" customWidth="1"/>
    <x:col min="6" max="6" width="22" customWidth="1"/>
    <x:col min="7" max="7" width="13" customWidth="1"/>
    <x:col min="8" max="8" width="28" customWidth="1"/>
    <x:col min="9" max="9" width="14" customWidth="1"/>
    <x:col min="10" max="10" width="22" customWidth="1"/>
    <x:col min="11" max="11" width="13" customWidth="1"/>
    <x:col min="12" max="12" width="12" customWidth="1"/>
    <x:col min="13" max="13" width="14" customWidth="1"/>
    <x:col min="14" max="14" width="12" customWidth="1"/>
    <x:col min="15" max="15" width="15" customWidth="1"/>
    <x:col min="16" max="16" width="15" customWidth="1"/>
    <x:col min="17" max="17" width="12" customWidth="1"/>
    <x:col min="18" max="18" width="15" customWidth="1"/>
    <x:col min="19" max="19" width="12" customWidth="1"/>
    <x:col min="20" max="20" width="13" customWidth="1"/>
    <x:col min="21" max="21" width="15" customWidth="1"/>
    <x:col min="22" max="22" width="22" customWidth="1"/>
    <x:col min="23" max="23" width="13" customWidth="1"/>
    <x:col min="24" max="24" width="13" customWidth="1"/>
    <x:col min="25" max="25" width="15" customWidth="1"/>
    <x:col min="26" max="26" width="16" customWidth="1"/>
  </x:cols>
  <x:sheetData>
    <x:row r="1" ht="24" customHeight="1">
      <x:c r="A1" s="1" t="inlineStr">
        <x:is>
          <x:t xml:space="preserve">Journal_Import</x:t>
        </x:is>
      </x:c>
    </x:row>
    <x:row r="2" ht="36" customHeight="1">
      <x:c r="A2" s="2" t="inlineStr">
        <x:is>
          <x:t xml:space="preserve">Fields in blue are intended for user or backend inputs. Black text cells are formulas. Review orange-highlighted items before finalization.</x:t>
        </x:is>
      </x:c>
    </x:row>
    <x:row r="3">
      <x:c r="A3" s="8" t="inlineStr">
        <x:is>
          <x:t xml:space="preserve">Control Note</x:t>
        </x:is>
      </x:c>
      <x:c r="B3" s="8" t="inlineStr">
        <x:is>
          <x:t xml:space="preserve">Populate / import source data first, then review formula-driven sheets and clear all CHECK / Yes exceptions before finalization.</x:t>
        </x:is>
      </x:c>
    </x:row>
    <x:row r="4" ht="30" customHeight="1">
      <x:c r="A4" s="4" t="inlineStr">
        <x:is>
          <x:t xml:space="preserve">Journal_ID</x:t>
        </x:is>
      </x:c>
      <x:c r="B4" s="4" t="inlineStr">
        <x:is>
          <x:t xml:space="preserve">Engagement_ID</x:t>
        </x:is>
      </x:c>
      <x:c r="C4" s="4" t="inlineStr">
        <x:is>
          <x:t xml:space="preserve">Entry_No</x:t>
        </x:is>
      </x:c>
      <x:c r="D4" s="4" t="inlineStr">
        <x:is>
          <x:t xml:space="preserve">Entry_Date</x:t>
        </x:is>
      </x:c>
      <x:c r="E4" s="4" t="inlineStr">
        <x:is>
          <x:t xml:space="preserve">Period</x:t>
        </x:is>
      </x:c>
      <x:c r="F4" s="4" t="inlineStr">
        <x:is>
          <x:t xml:space="preserve">Voucher_Type</x:t>
        </x:is>
      </x:c>
      <x:c r="G4" s="4" t="inlineStr">
        <x:is>
          <x:t xml:space="preserve">Document_No</x:t>
        </x:is>
      </x:c>
      <x:c r="H4" s="4" t="inlineStr">
        <x:is>
          <x:t xml:space="preserve">Narration</x:t>
        </x:is>
      </x:c>
      <x:c r="I4" s="4" t="inlineStr">
        <x:is>
          <x:t xml:space="preserve">Account_Code</x:t>
        </x:is>
      </x:c>
      <x:c r="J4" s="4" t="inlineStr">
        <x:is>
          <x:t xml:space="preserve">Account_Name</x:t>
        </x:is>
      </x:c>
      <x:c r="K4" s="4" t="inlineStr">
        <x:is>
          <x:t xml:space="preserve">Cost_Center</x:t>
        </x:is>
      </x:c>
      <x:c r="L4" s="4" t="inlineStr">
        <x:is>
          <x:t xml:space="preserve">Department</x:t>
        </x:is>
      </x:c>
      <x:c r="M4" s="4" t="inlineStr">
        <x:is>
          <x:t xml:space="preserve">Project_Code</x:t>
        </x:is>
      </x:c>
      <x:c r="N4" s="4" t="inlineStr">
        <x:is>
          <x:t xml:space="preserve">Party_Code</x:t>
        </x:is>
      </x:c>
      <x:c r="O4" s="4" t="inlineStr">
        <x:is>
          <x:t xml:space="preserve">Debit_Amount</x:t>
        </x:is>
      </x:c>
      <x:c r="P4" s="4" t="inlineStr">
        <x:is>
          <x:t xml:space="preserve">Credit_Amount</x:t>
        </x:is>
      </x:c>
      <x:c r="Q4" s="4" t="inlineStr">
        <x:is>
          <x:t xml:space="preserve">Currency</x:t>
        </x:is>
      </x:c>
      <x:c r="R4" s="4" t="inlineStr">
        <x:is>
          <x:t xml:space="preserve">Exchange_Rate</x:t>
        </x:is>
      </x:c>
      <x:c r="S4" s="4" t="inlineStr">
        <x:is>
          <x:t xml:space="preserve">Base_Debit</x:t>
        </x:is>
      </x:c>
      <x:c r="T4" s="4" t="inlineStr">
        <x:is>
          <x:t xml:space="preserve">Base_Credit</x:t>
        </x:is>
      </x:c>
      <x:c r="U4" s="4" t="inlineStr">
        <x:is>
          <x:t xml:space="preserve">Source_System</x:t>
        </x:is>
      </x:c>
      <x:c r="V4" s="4" t="inlineStr">
        <x:is>
          <x:t xml:space="preserve">Source_File_Name</x:t>
        </x:is>
      </x:c>
      <x:c r="W4" s="4" t="inlineStr">
        <x:is>
          <x:t xml:space="preserve">Posted_Flag</x:t>
        </x:is>
      </x:c>
      <x:c r="X4" s="4" t="inlineStr">
        <x:is>
          <x:t xml:space="preserve">Data_Source</x:t>
        </x:is>
      </x:c>
      <x:c r="Y4" s="4" t="inlineStr">
        <x:is>
          <x:t xml:space="preserve">Confidence_Score</x:t>
        </x:is>
      </x:c>
      <x:c r="Z4" s="4" t="inlineStr">
        <x:is>
          <x:t xml:space="preserve">Exception_Flag</x:t>
        </x:is>
      </x:c>
    </x:row>
    <x:row r="5" ht="20" customHeight="1">
      <x:c r="A5" s="5" t="inlineStr">
        <x:is>
          <x:t xml:space="preserve">JNL-0001-01</x:t>
        </x:is>
      </x:c>
      <x:c r="B5" s="5" t="inlineStr">
        <x:is>
          <x:t xml:space="preserve">ENG-001</x:t>
        </x:is>
      </x:c>
      <x:c r="C5" s="5" t="inlineStr">
        <x:is>
          <x:t xml:space="preserve">JV-0001</x:t>
        </x:is>
      </x:c>
      <x:c r="D5" s="23" t="n">
        <x:v>45809</x:v>
      </x:c>
      <x:c r="E5" s="5" t="inlineStr">
        <x:is>
          <x:t xml:space="preserve">2025-06</x:t>
        </x:is>
      </x:c>
      <x:c r="F5" s="5" t="inlineStr">
        <x:is>
          <x:t xml:space="preserve">Sales</x:t>
        </x:is>
      </x:c>
      <x:c r="G5" s="5" t="inlineStr">
        <x:is>
          <x:t xml:space="preserve">INV-1001</x:t>
        </x:is>
      </x:c>
      <x:c r="H5" s="5" t="inlineStr">
        <x:is>
          <x:t xml:space="preserve">Sales invoice - customer A</x:t>
        </x:is>
      </x:c>
      <x:c r="I5" s="5" t="inlineStr">
        <x:is>
          <x:t xml:space="preserve">152101</x:t>
        </x:is>
      </x:c>
      <x:c r="J5" s="12" t="str">
        <x:f>IF(I5="","",IFERROR(INDEX(COA_Master!$C:$C,MATCH(I5,COA_Master!$A:$A,0)),""))</x:f>
        <x:v>Cash at Bank</x:v>
      </x:c>
      <x:c r="K5" s="5" t="inlineStr">
        <x:is>
          <x:t xml:space="preserve">HO</x:t>
        </x:is>
      </x:c>
      <x:c r="L5" s="5" t="inlineStr">
        <x:is>
          <x:t xml:space="preserve">Sales</x:t>
        </x:is>
      </x:c>
      <x:c r="M5" s="5" t="n"/>
      <x:c r="N5" s="5" t="inlineStr">
        <x:is>
          <x:t xml:space="preserve">CUST-A</x:t>
        </x:is>
      </x:c>
      <x:c r="O5" s="10" t="n">
        <x:v>500000</x:v>
      </x:c>
      <x:c r="P5" s="10" t="n">
        <x:v>0</x:v>
      </x:c>
      <x:c r="Q5" s="5" t="inlineStr">
        <x:is>
          <x:t xml:space="preserve">PKR</x:t>
        </x:is>
      </x:c>
      <x:c r="R5" s="10" t="n">
        <x:v>1</x:v>
      </x:c>
      <x:c r="S5" s="12">
        <x:f>IF(O5="","",O5*R5)</x:f>
        <x:v>500000</x:v>
      </x:c>
      <x:c r="T5" s="12">
        <x:f>IF(P5="","",P5*R5)</x:f>
      </x:c>
      <x:c r="U5" s="5" t="inlineStr">
        <x:is>
          <x:t xml:space="preserve">ERP</x:t>
        </x:is>
      </x:c>
      <x:c r="V5" s="5" t="inlineStr">
        <x:is>
          <x:t xml:space="preserve">sales_june.xlsx</x:t>
        </x:is>
      </x:c>
      <x:c r="W5" s="5" t="inlineStr">
        <x:is>
          <x:t xml:space="preserve">Yes</x:t>
        </x:is>
      </x:c>
      <x:c r="X5" s="5" t="inlineStr">
        <x:is>
          <x:t xml:space="preserve">Imported</x:t>
        </x:is>
      </x:c>
      <x:c r="Y5" s="10" t="n">
        <x:v>100</x:v>
      </x:c>
      <x:c r="Z5" s="5" t="inlineStr">
        <x:is>
          <x:t xml:space="preserve">No</x:t>
        </x:is>
      </x:c>
    </x:row>
    <x:row r="6" ht="20" customHeight="1">
      <x:c r="A6" s="5" t="inlineStr">
        <x:is>
          <x:t xml:space="preserve">JNL-0001-02</x:t>
        </x:is>
      </x:c>
      <x:c r="B6" s="5" t="inlineStr">
        <x:is>
          <x:t xml:space="preserve">ENG-001</x:t>
        </x:is>
      </x:c>
      <x:c r="C6" s="5" t="inlineStr">
        <x:is>
          <x:t xml:space="preserve">JV-0001</x:t>
        </x:is>
      </x:c>
      <x:c r="D6" s="23" t="n">
        <x:v>45809</x:v>
      </x:c>
      <x:c r="E6" s="5" t="inlineStr">
        <x:is>
          <x:t xml:space="preserve">2025-06</x:t>
        </x:is>
      </x:c>
      <x:c r="F6" s="5" t="inlineStr">
        <x:is>
          <x:t xml:space="preserve">Sales</x:t>
        </x:is>
      </x:c>
      <x:c r="G6" s="5" t="inlineStr">
        <x:is>
          <x:t xml:space="preserve">INV-1001</x:t>
        </x:is>
      </x:c>
      <x:c r="H6" s="5" t="inlineStr">
        <x:is>
          <x:t xml:space="preserve">Sales invoice - customer A</x:t>
        </x:is>
      </x:c>
      <x:c r="I6" s="5" t="inlineStr">
        <x:is>
          <x:t xml:space="preserve">410101</x:t>
        </x:is>
      </x:c>
      <x:c r="J6" s="12" t="str">
        <x:f>IF(I6="","",IFERROR(INDEX(COA_Master!$C:$C,MATCH(I6,COA_Master!$A:$A,0)),""))</x:f>
        <x:v>Salaries &amp; Wages</x:v>
      </x:c>
      <x:c r="K6" s="5" t="inlineStr">
        <x:is>
          <x:t xml:space="preserve">HO</x:t>
        </x:is>
      </x:c>
      <x:c r="L6" s="5" t="inlineStr">
        <x:is>
          <x:t xml:space="preserve">Sales</x:t>
        </x:is>
      </x:c>
      <x:c r="M6" s="5" t="n"/>
      <x:c r="N6" s="5" t="inlineStr">
        <x:is>
          <x:t xml:space="preserve">CUST-A</x:t>
        </x:is>
      </x:c>
      <x:c r="O6" s="10" t="n">
        <x:v>0</x:v>
      </x:c>
      <x:c r="P6" s="10" t="n">
        <x:v>500000</x:v>
      </x:c>
      <x:c r="Q6" s="5" t="inlineStr">
        <x:is>
          <x:t xml:space="preserve">PKR</x:t>
        </x:is>
      </x:c>
      <x:c r="R6" s="10" t="n">
        <x:v>1</x:v>
      </x:c>
      <x:c r="S6" s="12">
        <x:f>IF(O6="","",O6*R6)</x:f>
      </x:c>
      <x:c r="T6" s="12">
        <x:f>IF(P6="","",P6*R6)</x:f>
        <x:v>500000</x:v>
      </x:c>
      <x:c r="U6" s="5" t="inlineStr">
        <x:is>
          <x:t xml:space="preserve">ERP</x:t>
        </x:is>
      </x:c>
      <x:c r="V6" s="5" t="inlineStr">
        <x:is>
          <x:t xml:space="preserve">sales_june.xlsx</x:t>
        </x:is>
      </x:c>
      <x:c r="W6" s="5" t="inlineStr">
        <x:is>
          <x:t xml:space="preserve">Yes</x:t>
        </x:is>
      </x:c>
      <x:c r="X6" s="5" t="inlineStr">
        <x:is>
          <x:t xml:space="preserve">Imported</x:t>
        </x:is>
      </x:c>
      <x:c r="Y6" s="10" t="n">
        <x:v>100</x:v>
      </x:c>
      <x:c r="Z6" s="5" t="inlineStr">
        <x:is>
          <x:t xml:space="preserve">No</x:t>
        </x:is>
      </x:c>
    </x:row>
    <x:row r="7" ht="20" customHeight="1">
      <x:c r="A7" s="5" t="inlineStr">
        <x:is>
          <x:t xml:space="preserve">JNL-0002-01</x:t>
        </x:is>
      </x:c>
      <x:c r="B7" s="5" t="inlineStr">
        <x:is>
          <x:t xml:space="preserve">ENG-001</x:t>
        </x:is>
      </x:c>
      <x:c r="C7" s="5" t="inlineStr">
        <x:is>
          <x:t xml:space="preserve">RV-0002</x:t>
        </x:is>
      </x:c>
      <x:c r="D7" s="23" t="n">
        <x:v>45813</x:v>
      </x:c>
      <x:c r="E7" s="5" t="inlineStr">
        <x:is>
          <x:t xml:space="preserve">2025-06</x:t>
        </x:is>
      </x:c>
      <x:c r="F7" s="5" t="inlineStr">
        <x:is>
          <x:t xml:space="preserve">RV</x:t>
        </x:is>
      </x:c>
      <x:c r="G7" s="5" t="inlineStr">
        <x:is>
          <x:t xml:space="preserve">RCV-210</x:t>
        </x:is>
      </x:c>
      <x:c r="H7" s="5" t="inlineStr">
        <x:is>
          <x:t xml:space="preserve">Collection from customer A</x:t>
        </x:is>
      </x:c>
      <x:c r="I7" s="5" t="inlineStr">
        <x:is>
          <x:t xml:space="preserve">154201</x:t>
        </x:is>
      </x:c>
      <x:c r="J7" s="12" t="str">
        <x:f>IF(I7="","",IFERROR(INDEX(COA_Master!$C:$C,MATCH(I7,COA_Master!$A:$A,0)),""))</x:f>
        <x:v>Long-term Loan</x:v>
      </x:c>
      <x:c r="K7" s="5" t="inlineStr">
        <x:is>
          <x:t xml:space="preserve">HO</x:t>
        </x:is>
      </x:c>
      <x:c r="L7" s="5" t="inlineStr">
        <x:is>
          <x:t xml:space="preserve">Treasury</x:t>
        </x:is>
      </x:c>
      <x:c r="M7" s="5" t="n"/>
      <x:c r="N7" s="5" t="inlineStr">
        <x:is>
          <x:t xml:space="preserve">CUST-A</x:t>
        </x:is>
      </x:c>
      <x:c r="O7" s="10" t="n">
        <x:v>300000</x:v>
      </x:c>
      <x:c r="P7" s="10" t="n">
        <x:v>0</x:v>
      </x:c>
      <x:c r="Q7" s="5" t="inlineStr">
        <x:is>
          <x:t xml:space="preserve">PKR</x:t>
        </x:is>
      </x:c>
      <x:c r="R7" s="10" t="n">
        <x:v>1</x:v>
      </x:c>
      <x:c r="S7" s="12">
        <x:f>IF(O7="","",O7*R7)</x:f>
        <x:v>300000</x:v>
      </x:c>
      <x:c r="T7" s="12">
        <x:f>IF(P7="","",P7*R7)</x:f>
      </x:c>
      <x:c r="U7" s="5" t="inlineStr">
        <x:is>
          <x:t xml:space="preserve">ERP</x:t>
        </x:is>
      </x:c>
      <x:c r="V7" s="5" t="inlineStr">
        <x:is>
          <x:t xml:space="preserve">bank_june.xlsx</x:t>
        </x:is>
      </x:c>
      <x:c r="W7" s="5" t="inlineStr">
        <x:is>
          <x:t xml:space="preserve">Yes</x:t>
        </x:is>
      </x:c>
      <x:c r="X7" s="5" t="inlineStr">
        <x:is>
          <x:t xml:space="preserve">Imported</x:t>
        </x:is>
      </x:c>
      <x:c r="Y7" s="10" t="n">
        <x:v>100</x:v>
      </x:c>
      <x:c r="Z7" s="5" t="inlineStr">
        <x:is>
          <x:t xml:space="preserve">No</x:t>
        </x:is>
      </x:c>
    </x:row>
    <x:row r="8" ht="20" customHeight="1">
      <x:c r="A8" s="5" t="inlineStr">
        <x:is>
          <x:t xml:space="preserve">JNL-0002-02</x:t>
        </x:is>
      </x:c>
      <x:c r="B8" s="5" t="inlineStr">
        <x:is>
          <x:t xml:space="preserve">ENG-001</x:t>
        </x:is>
      </x:c>
      <x:c r="C8" s="5" t="inlineStr">
        <x:is>
          <x:t xml:space="preserve">RV-0002</x:t>
        </x:is>
      </x:c>
      <x:c r="D8" s="23" t="n">
        <x:v>45813</x:v>
      </x:c>
      <x:c r="E8" s="5" t="inlineStr">
        <x:is>
          <x:t xml:space="preserve">2025-06</x:t>
        </x:is>
      </x:c>
      <x:c r="F8" s="5" t="inlineStr">
        <x:is>
          <x:t xml:space="preserve">RV</x:t>
        </x:is>
      </x:c>
      <x:c r="G8" s="5" t="inlineStr">
        <x:is>
          <x:t xml:space="preserve">RCV-210</x:t>
        </x:is>
      </x:c>
      <x:c r="H8" s="5" t="inlineStr">
        <x:is>
          <x:t xml:space="preserve">Collection from customer A</x:t>
        </x:is>
      </x:c>
      <x:c r="I8" s="5" t="inlineStr">
        <x:is>
          <x:t xml:space="preserve">152101</x:t>
        </x:is>
      </x:c>
      <x:c r="J8" s="12" t="str">
        <x:f>IF(I8="","",IFERROR(INDEX(COA_Master!$C:$C,MATCH(I8,COA_Master!$A:$A,0)),""))</x:f>
        <x:v>Cash at Bank</x:v>
      </x:c>
      <x:c r="K8" s="5" t="inlineStr">
        <x:is>
          <x:t xml:space="preserve">HO</x:t>
        </x:is>
      </x:c>
      <x:c r="L8" s="5" t="inlineStr">
        <x:is>
          <x:t xml:space="preserve">Sales</x:t>
        </x:is>
      </x:c>
      <x:c r="M8" s="5" t="n"/>
      <x:c r="N8" s="5" t="inlineStr">
        <x:is>
          <x:t xml:space="preserve">CUST-A</x:t>
        </x:is>
      </x:c>
      <x:c r="O8" s="10" t="n">
        <x:v>0</x:v>
      </x:c>
      <x:c r="P8" s="10" t="n">
        <x:v>300000</x:v>
      </x:c>
      <x:c r="Q8" s="5" t="inlineStr">
        <x:is>
          <x:t xml:space="preserve">PKR</x:t>
        </x:is>
      </x:c>
      <x:c r="R8" s="10" t="n">
        <x:v>1</x:v>
      </x:c>
      <x:c r="S8" s="12">
        <x:f>IF(O8="","",O8*R8)</x:f>
      </x:c>
      <x:c r="T8" s="12">
        <x:f>IF(P8="","",P8*R8)</x:f>
        <x:v>300000</x:v>
      </x:c>
      <x:c r="U8" s="5" t="inlineStr">
        <x:is>
          <x:t xml:space="preserve">ERP</x:t>
        </x:is>
      </x:c>
      <x:c r="V8" s="5" t="inlineStr">
        <x:is>
          <x:t xml:space="preserve">bank_june.xlsx</x:t>
        </x:is>
      </x:c>
      <x:c r="W8" s="5" t="inlineStr">
        <x:is>
          <x:t xml:space="preserve">Yes</x:t>
        </x:is>
      </x:c>
      <x:c r="X8" s="5" t="inlineStr">
        <x:is>
          <x:t xml:space="preserve">Imported</x:t>
        </x:is>
      </x:c>
      <x:c r="Y8" s="10" t="n">
        <x:v>100</x:v>
      </x:c>
      <x:c r="Z8" s="5" t="inlineStr">
        <x:is>
          <x:t xml:space="preserve">No</x:t>
        </x:is>
      </x:c>
    </x:row>
    <x:row r="9" ht="20" customHeight="1">
      <x:c r="A9" s="5" t="inlineStr">
        <x:is>
          <x:t xml:space="preserve">JNL-0003-01</x:t>
        </x:is>
      </x:c>
      <x:c r="B9" s="5" t="inlineStr">
        <x:is>
          <x:t xml:space="preserve">ENG-001</x:t>
        </x:is>
      </x:c>
      <x:c r="C9" s="5" t="inlineStr">
        <x:is>
          <x:t xml:space="preserve">PV-0003</x:t>
        </x:is>
      </x:c>
      <x:c r="D9" s="23" t="n">
        <x:v>45816</x:v>
      </x:c>
      <x:c r="E9" s="5" t="inlineStr">
        <x:is>
          <x:t xml:space="preserve">2025-06</x:t>
        </x:is>
      </x:c>
      <x:c r="F9" s="5" t="inlineStr">
        <x:is>
          <x:t xml:space="preserve">Purchase</x:t>
        </x:is>
      </x:c>
      <x:c r="G9" s="5" t="inlineStr">
        <x:is>
          <x:t xml:space="preserve">BILL-550</x:t>
        </x:is>
      </x:c>
      <x:c r="H9" s="5" t="inlineStr">
        <x:is>
          <x:t xml:space="preserve">Raw material purchased on credit</x:t>
        </x:is>
      </x:c>
      <x:c r="I9" s="5" t="inlineStr">
        <x:is>
          <x:t xml:space="preserve">151101</x:t>
        </x:is>
      </x:c>
      <x:c r="J9" s="12" t="str">
        <x:f>IF(I9="","",IFERROR(INDEX(COA_Master!$C:$C,MATCH(I9,COA_Master!$A:$A,0)),""))</x:f>
        <x:v>Prepaid Expenses</x:v>
      </x:c>
      <x:c r="K9" s="5" t="inlineStr">
        <x:is>
          <x:t xml:space="preserve">Factory</x:t>
        </x:is>
      </x:c>
      <x:c r="L9" s="5" t="inlineStr">
        <x:is>
          <x:t xml:space="preserve">Procurement</x:t>
        </x:is>
      </x:c>
      <x:c r="M9" s="5" t="n"/>
      <x:c r="N9" s="5" t="inlineStr">
        <x:is>
          <x:t xml:space="preserve">SUPP-1</x:t>
        </x:is>
      </x:c>
      <x:c r="O9" s="10" t="n">
        <x:v>400000</x:v>
      </x:c>
      <x:c r="P9" s="10" t="n">
        <x:v>0</x:v>
      </x:c>
      <x:c r="Q9" s="5" t="inlineStr">
        <x:is>
          <x:t xml:space="preserve">PKR</x:t>
        </x:is>
      </x:c>
      <x:c r="R9" s="10" t="n">
        <x:v>1</x:v>
      </x:c>
      <x:c r="S9" s="12">
        <x:f>IF(O9="","",O9*R9)</x:f>
        <x:v>400000</x:v>
      </x:c>
      <x:c r="T9" s="12">
        <x:f>IF(P9="","",P9*R9)</x:f>
      </x:c>
      <x:c r="U9" s="5" t="inlineStr">
        <x:is>
          <x:t xml:space="preserve">ERP</x:t>
        </x:is>
      </x:c>
      <x:c r="V9" s="5" t="inlineStr">
        <x:is>
          <x:t xml:space="preserve">purchase_june.xlsx</x:t>
        </x:is>
      </x:c>
      <x:c r="W9" s="5" t="inlineStr">
        <x:is>
          <x:t xml:space="preserve">Yes</x:t>
        </x:is>
      </x:c>
      <x:c r="X9" s="5" t="inlineStr">
        <x:is>
          <x:t xml:space="preserve">Imported</x:t>
        </x:is>
      </x:c>
      <x:c r="Y9" s="10" t="n">
        <x:v>100</x:v>
      </x:c>
      <x:c r="Z9" s="5" t="inlineStr">
        <x:is>
          <x:t xml:space="preserve">No</x:t>
        </x:is>
      </x:c>
    </x:row>
    <x:row r="10" ht="20" customHeight="1">
      <x:c r="A10" s="5" t="inlineStr">
        <x:is>
          <x:t xml:space="preserve">JNL-0003-02</x:t>
        </x:is>
      </x:c>
      <x:c r="B10" s="5" t="inlineStr">
        <x:is>
          <x:t xml:space="preserve">ENG-001</x:t>
        </x:is>
      </x:c>
      <x:c r="C10" s="5" t="inlineStr">
        <x:is>
          <x:t xml:space="preserve">PV-0003</x:t>
        </x:is>
      </x:c>
      <x:c r="D10" s="23" t="n">
        <x:v>45816</x:v>
      </x:c>
      <x:c r="E10" s="5" t="inlineStr">
        <x:is>
          <x:t xml:space="preserve">2025-06</x:t>
        </x:is>
      </x:c>
      <x:c r="F10" s="5" t="inlineStr">
        <x:is>
          <x:t xml:space="preserve">Purchase</x:t>
        </x:is>
      </x:c>
      <x:c r="G10" s="5" t="inlineStr">
        <x:is>
          <x:t xml:space="preserve">BILL-550</x:t>
        </x:is>
      </x:c>
      <x:c r="H10" s="5" t="inlineStr">
        <x:is>
          <x:t xml:space="preserve">Raw material purchased on credit</x:t>
        </x:is>
      </x:c>
      <x:c r="I10" s="5" t="inlineStr">
        <x:is>
          <x:t xml:space="preserve">321101</x:t>
        </x:is>
      </x:c>
      <x:c r="J10" s="12" t="str">
        <x:f>IF(I10="","",IFERROR(INDEX(COA_Master!$C:$C,MATCH(I10,COA_Master!$A:$A,0)),""))</x:f>
        <x:v>Profit on Bank Deposits</x:v>
      </x:c>
      <x:c r="K10" s="5" t="inlineStr">
        <x:is>
          <x:t xml:space="preserve">Factory</x:t>
        </x:is>
      </x:c>
      <x:c r="L10" s="5" t="inlineStr">
        <x:is>
          <x:t xml:space="preserve">Procurement</x:t>
        </x:is>
      </x:c>
      <x:c r="M10" s="5" t="n"/>
      <x:c r="N10" s="5" t="inlineStr">
        <x:is>
          <x:t xml:space="preserve">SUPP-1</x:t>
        </x:is>
      </x:c>
      <x:c r="O10" s="10" t="n">
        <x:v>0</x:v>
      </x:c>
      <x:c r="P10" s="10" t="n">
        <x:v>400000</x:v>
      </x:c>
      <x:c r="Q10" s="5" t="inlineStr">
        <x:is>
          <x:t xml:space="preserve">PKR</x:t>
        </x:is>
      </x:c>
      <x:c r="R10" s="10" t="n">
        <x:v>1</x:v>
      </x:c>
      <x:c r="S10" s="12">
        <x:f>IF(O10="","",O10*R10)</x:f>
      </x:c>
      <x:c r="T10" s="12">
        <x:f>IF(P10="","",P10*R10)</x:f>
        <x:v>400000</x:v>
      </x:c>
      <x:c r="U10" s="5" t="inlineStr">
        <x:is>
          <x:t xml:space="preserve">ERP</x:t>
        </x:is>
      </x:c>
      <x:c r="V10" s="5" t="inlineStr">
        <x:is>
          <x:t xml:space="preserve">purchase_june.xlsx</x:t>
        </x:is>
      </x:c>
      <x:c r="W10" s="5" t="inlineStr">
        <x:is>
          <x:t xml:space="preserve">Yes</x:t>
        </x:is>
      </x:c>
      <x:c r="X10" s="5" t="inlineStr">
        <x:is>
          <x:t xml:space="preserve">Imported</x:t>
        </x:is>
      </x:c>
      <x:c r="Y10" s="10" t="n">
        <x:v>100</x:v>
      </x:c>
      <x:c r="Z10" s="5" t="inlineStr">
        <x:is>
          <x:t xml:space="preserve">No</x:t>
        </x:is>
      </x:c>
    </x:row>
    <x:row r="11" ht="20" customHeight="1">
      <x:c r="A11" s="5" t="inlineStr">
        <x:is>
          <x:t xml:space="preserve">JNL-0004-01</x:t>
        </x:is>
      </x:c>
      <x:c r="B11" s="5" t="inlineStr">
        <x:is>
          <x:t xml:space="preserve">ENG-001</x:t>
        </x:is>
      </x:c>
      <x:c r="C11" s="5" t="inlineStr">
        <x:is>
          <x:t xml:space="preserve">BPV-0004</x:t>
        </x:is>
      </x:c>
      <x:c r="D11" s="23" t="n">
        <x:v>45823</x:v>
      </x:c>
      <x:c r="E11" s="5" t="inlineStr">
        <x:is>
          <x:t xml:space="preserve">2025-06</x:t>
        </x:is>
      </x:c>
      <x:c r="F11" s="5" t="inlineStr">
        <x:is>
          <x:t xml:space="preserve">Payroll</x:t>
        </x:is>
      </x:c>
      <x:c r="G11" s="5" t="inlineStr">
        <x:is>
          <x:t xml:space="preserve">PAY-0601</x:t>
        </x:is>
      </x:c>
      <x:c r="H11" s="5" t="inlineStr">
        <x:is>
          <x:t xml:space="preserve">Monthly payroll paid</x:t>
        </x:is>
      </x:c>
      <x:c r="I11" s="5" t="inlineStr">
        <x:is>
          <x:t xml:space="preserve">610101</x:t>
        </x:is>
      </x:c>
      <x:c r="J11" s="12">
        <x:f>IF(I11="","",IFERROR(INDEX(COA_Master!$C:$C,MATCH(I11,COA_Master!$A:$A,0)),""))</x:f>
      </x:c>
      <x:c r="K11" s="5" t="inlineStr">
        <x:is>
          <x:t xml:space="preserve">HO</x:t>
        </x:is>
      </x:c>
      <x:c r="L11" s="5" t="inlineStr">
        <x:is>
          <x:t xml:space="preserve">HR</x:t>
        </x:is>
      </x:c>
      <x:c r="M11" s="5" t="n"/>
      <x:c r="N11" s="5" t="inlineStr">
        <x:is>
          <x:t xml:space="preserve">EMP-PAY</x:t>
        </x:is>
      </x:c>
      <x:c r="O11" s="10" t="n">
        <x:v>150000</x:v>
      </x:c>
      <x:c r="P11" s="10" t="n">
        <x:v>0</x:v>
      </x:c>
      <x:c r="Q11" s="5" t="inlineStr">
        <x:is>
          <x:t xml:space="preserve">PKR</x:t>
        </x:is>
      </x:c>
      <x:c r="R11" s="10" t="n">
        <x:v>1</x:v>
      </x:c>
      <x:c r="S11" s="12">
        <x:f>IF(O11="","",O11*R11)</x:f>
        <x:v>150000</x:v>
      </x:c>
      <x:c r="T11" s="12">
        <x:f>IF(P11="","",P11*R11)</x:f>
      </x:c>
      <x:c r="U11" s="5" t="inlineStr">
        <x:is>
          <x:t xml:space="preserve">ERP</x:t>
        </x:is>
      </x:c>
      <x:c r="V11" s="5" t="inlineStr">
        <x:is>
          <x:t xml:space="preserve">payroll_june.xlsx</x:t>
        </x:is>
      </x:c>
      <x:c r="W11" s="5" t="inlineStr">
        <x:is>
          <x:t xml:space="preserve">Yes</x:t>
        </x:is>
      </x:c>
      <x:c r="X11" s="5" t="inlineStr">
        <x:is>
          <x:t xml:space="preserve">Imported</x:t>
        </x:is>
      </x:c>
      <x:c r="Y11" s="10" t="n">
        <x:v>100</x:v>
      </x:c>
      <x:c r="Z11" s="5" t="inlineStr">
        <x:is>
          <x:t xml:space="preserve">No</x:t>
        </x:is>
      </x:c>
    </x:row>
    <x:row r="12" ht="20" customHeight="1">
      <x:c r="A12" s="5" t="inlineStr">
        <x:is>
          <x:t xml:space="preserve">JNL-0004-02</x:t>
        </x:is>
      </x:c>
      <x:c r="B12" s="5" t="inlineStr">
        <x:is>
          <x:t xml:space="preserve">ENG-001</x:t>
        </x:is>
      </x:c>
      <x:c r="C12" s="5" t="inlineStr">
        <x:is>
          <x:t xml:space="preserve">BPV-0004</x:t>
        </x:is>
      </x:c>
      <x:c r="D12" s="23" t="n">
        <x:v>45823</x:v>
      </x:c>
      <x:c r="E12" s="5" t="inlineStr">
        <x:is>
          <x:t xml:space="preserve">2025-06</x:t>
        </x:is>
      </x:c>
      <x:c r="F12" s="5" t="inlineStr">
        <x:is>
          <x:t xml:space="preserve">Payroll</x:t>
        </x:is>
      </x:c>
      <x:c r="G12" s="5" t="inlineStr">
        <x:is>
          <x:t xml:space="preserve">PAY-0601</x:t>
        </x:is>
      </x:c>
      <x:c r="H12" s="5" t="inlineStr">
        <x:is>
          <x:t xml:space="preserve">Monthly payroll paid</x:t>
        </x:is>
      </x:c>
      <x:c r="I12" s="5" t="inlineStr">
        <x:is>
          <x:t xml:space="preserve">154201</x:t>
        </x:is>
      </x:c>
      <x:c r="J12" s="12" t="str">
        <x:f>IF(I12="","",IFERROR(INDEX(COA_Master!$C:$C,MATCH(I12,COA_Master!$A:$A,0)),""))</x:f>
        <x:v>Long-term Loan</x:v>
      </x:c>
      <x:c r="K12" s="5" t="inlineStr">
        <x:is>
          <x:t xml:space="preserve">HO</x:t>
        </x:is>
      </x:c>
      <x:c r="L12" s="5" t="inlineStr">
        <x:is>
          <x:t xml:space="preserve">Treasury</x:t>
        </x:is>
      </x:c>
      <x:c r="M12" s="5" t="n"/>
      <x:c r="N12" s="5" t="inlineStr">
        <x:is>
          <x:t xml:space="preserve">EMP-PAY</x:t>
        </x:is>
      </x:c>
      <x:c r="O12" s="10" t="n">
        <x:v>0</x:v>
      </x:c>
      <x:c r="P12" s="10" t="n">
        <x:v>150000</x:v>
      </x:c>
      <x:c r="Q12" s="5" t="inlineStr">
        <x:is>
          <x:t xml:space="preserve">PKR</x:t>
        </x:is>
      </x:c>
      <x:c r="R12" s="10" t="n">
        <x:v>1</x:v>
      </x:c>
      <x:c r="S12" s="12">
        <x:f>IF(O12="","",O12*R12)</x:f>
      </x:c>
      <x:c r="T12" s="12">
        <x:f>IF(P12="","",P12*R12)</x:f>
        <x:v>150000</x:v>
      </x:c>
      <x:c r="U12" s="5" t="inlineStr">
        <x:is>
          <x:t xml:space="preserve">ERP</x:t>
        </x:is>
      </x:c>
      <x:c r="V12" s="5" t="inlineStr">
        <x:is>
          <x:t xml:space="preserve">payroll_june.xlsx</x:t>
        </x:is>
      </x:c>
      <x:c r="W12" s="5" t="inlineStr">
        <x:is>
          <x:t xml:space="preserve">Yes</x:t>
        </x:is>
      </x:c>
      <x:c r="X12" s="5" t="inlineStr">
        <x:is>
          <x:t xml:space="preserve">Imported</x:t>
        </x:is>
      </x:c>
      <x:c r="Y12" s="10" t="n">
        <x:v>100</x:v>
      </x:c>
      <x:c r="Z12" s="5" t="inlineStr">
        <x:is>
          <x:t xml:space="preserve">No</x:t>
        </x:is>
      </x:c>
    </x:row>
    <x:row r="13" ht="20" customHeight="1">
      <x:c r="A13" s="5" t="inlineStr">
        <x:is>
          <x:t xml:space="preserve">JNL-0005-01</x:t>
        </x:is>
      </x:c>
      <x:c r="B13" s="5" t="inlineStr">
        <x:is>
          <x:t xml:space="preserve">ENG-001</x:t>
        </x:is>
      </x:c>
      <x:c r="C13" s="5" t="inlineStr">
        <x:is>
          <x:t xml:space="preserve">RV-0005</x:t>
        </x:is>
      </x:c>
      <x:c r="D13" s="23" t="n">
        <x:v>45828</x:v>
      </x:c>
      <x:c r="E13" s="5" t="inlineStr">
        <x:is>
          <x:t xml:space="preserve">2025-06</x:t>
        </x:is>
      </x:c>
      <x:c r="F13" s="5" t="inlineStr">
        <x:is>
          <x:t xml:space="preserve">RV</x:t>
        </x:is>
      </x:c>
      <x:c r="G13" s="5" t="inlineStr">
        <x:is>
          <x:t xml:space="preserve">BANK-INT</x:t>
        </x:is>
      </x:c>
      <x:c r="H13" s="5" t="inlineStr">
        <x:is>
          <x:t xml:space="preserve">Bank profit received</x:t>
        </x:is>
      </x:c>
      <x:c r="I13" s="5" t="inlineStr">
        <x:is>
          <x:t xml:space="preserve">154201</x:t>
        </x:is>
      </x:c>
      <x:c r="J13" s="12" t="str">
        <x:f>IF(I13="","",IFERROR(INDEX(COA_Master!$C:$C,MATCH(I13,COA_Master!$A:$A,0)),""))</x:f>
        <x:v>Long-term Loan</x:v>
      </x:c>
      <x:c r="K13" s="5" t="inlineStr">
        <x:is>
          <x:t xml:space="preserve">HO</x:t>
        </x:is>
      </x:c>
      <x:c r="L13" s="5" t="inlineStr">
        <x:is>
          <x:t xml:space="preserve">Treasury</x:t>
        </x:is>
      </x:c>
      <x:c r="M13" s="5" t="n"/>
      <x:c r="N13" s="5" t="inlineStr">
        <x:is>
          <x:t xml:space="preserve">BANK</x:t>
        </x:is>
      </x:c>
      <x:c r="O13" s="10" t="n">
        <x:v>10000</x:v>
      </x:c>
      <x:c r="P13" s="10" t="n">
        <x:v>0</x:v>
      </x:c>
      <x:c r="Q13" s="5" t="inlineStr">
        <x:is>
          <x:t xml:space="preserve">PKR</x:t>
        </x:is>
      </x:c>
      <x:c r="R13" s="10" t="n">
        <x:v>1</x:v>
      </x:c>
      <x:c r="S13" s="12">
        <x:f>IF(O13="","",O13*R13)</x:f>
        <x:v>10000</x:v>
      </x:c>
      <x:c r="T13" s="12">
        <x:f>IF(P13="","",P13*R13)</x:f>
      </x:c>
      <x:c r="U13" s="5" t="inlineStr">
        <x:is>
          <x:t xml:space="preserve">ERP</x:t>
        </x:is>
      </x:c>
      <x:c r="V13" s="5" t="inlineStr">
        <x:is>
          <x:t xml:space="preserve">bank_june.xlsx</x:t>
        </x:is>
      </x:c>
      <x:c r="W13" s="5" t="inlineStr">
        <x:is>
          <x:t xml:space="preserve">Yes</x:t>
        </x:is>
      </x:c>
      <x:c r="X13" s="5" t="inlineStr">
        <x:is>
          <x:t xml:space="preserve">Imported</x:t>
        </x:is>
      </x:c>
      <x:c r="Y13" s="10" t="n">
        <x:v>100</x:v>
      </x:c>
      <x:c r="Z13" s="5" t="inlineStr">
        <x:is>
          <x:t xml:space="preserve">No</x:t>
        </x:is>
      </x:c>
    </x:row>
    <x:row r="14" ht="20" customHeight="1">
      <x:c r="A14" s="5" t="inlineStr">
        <x:is>
          <x:t xml:space="preserve">JNL-0005-02</x:t>
        </x:is>
      </x:c>
      <x:c r="B14" s="5" t="inlineStr">
        <x:is>
          <x:t xml:space="preserve">ENG-001</x:t>
        </x:is>
      </x:c>
      <x:c r="C14" s="5" t="inlineStr">
        <x:is>
          <x:t xml:space="preserve">RV-0005</x:t>
        </x:is>
      </x:c>
      <x:c r="D14" s="23" t="n">
        <x:v>45828</x:v>
      </x:c>
      <x:c r="E14" s="5" t="inlineStr">
        <x:is>
          <x:t xml:space="preserve">2025-06</x:t>
        </x:is>
      </x:c>
      <x:c r="F14" s="5" t="inlineStr">
        <x:is>
          <x:t xml:space="preserve">RV</x:t>
        </x:is>
      </x:c>
      <x:c r="G14" s="5" t="inlineStr">
        <x:is>
          <x:t xml:space="preserve">BANK-INT</x:t>
        </x:is>
      </x:c>
      <x:c r="H14" s="5" t="inlineStr">
        <x:is>
          <x:t xml:space="preserve">Bank profit received</x:t>
        </x:is>
      </x:c>
      <x:c r="I14" s="5" t="inlineStr">
        <x:is>
          <x:t xml:space="preserve">420101</x:t>
        </x:is>
      </x:c>
      <x:c r="J14" s="12" t="str">
        <x:f>IF(I14="","",IFERROR(INDEX(COA_Master!$C:$C,MATCH(I14,COA_Master!$A:$A,0)),""))</x:f>
        <x:v>Interest Expense</x:v>
      </x:c>
      <x:c r="K14" s="5" t="inlineStr">
        <x:is>
          <x:t xml:space="preserve">HO</x:t>
        </x:is>
      </x:c>
      <x:c r="L14" s="5" t="inlineStr">
        <x:is>
          <x:t xml:space="preserve">Treasury</x:t>
        </x:is>
      </x:c>
      <x:c r="M14" s="5" t="n"/>
      <x:c r="N14" s="5" t="inlineStr">
        <x:is>
          <x:t xml:space="preserve">BANK</x:t>
        </x:is>
      </x:c>
      <x:c r="O14" s="10" t="n">
        <x:v>0</x:v>
      </x:c>
      <x:c r="P14" s="10" t="n">
        <x:v>10000</x:v>
      </x:c>
      <x:c r="Q14" s="5" t="inlineStr">
        <x:is>
          <x:t xml:space="preserve">PKR</x:t>
        </x:is>
      </x:c>
      <x:c r="R14" s="10" t="n">
        <x:v>1</x:v>
      </x:c>
      <x:c r="S14" s="12">
        <x:f>IF(O14="","",O14*R14)</x:f>
      </x:c>
      <x:c r="T14" s="12">
        <x:f>IF(P14="","",P14*R14)</x:f>
        <x:v>10000</x:v>
      </x:c>
      <x:c r="U14" s="5" t="inlineStr">
        <x:is>
          <x:t xml:space="preserve">ERP</x:t>
        </x:is>
      </x:c>
      <x:c r="V14" s="5" t="inlineStr">
        <x:is>
          <x:t xml:space="preserve">bank_june.xlsx</x:t>
        </x:is>
      </x:c>
      <x:c r="W14" s="5" t="inlineStr">
        <x:is>
          <x:t xml:space="preserve">Yes</x:t>
        </x:is>
      </x:c>
      <x:c r="X14" s="5" t="inlineStr">
        <x:is>
          <x:t xml:space="preserve">Imported</x:t>
        </x:is>
      </x:c>
      <x:c r="Y14" s="10" t="n">
        <x:v>100</x:v>
      </x:c>
      <x:c r="Z14" s="5" t="inlineStr">
        <x:is>
          <x:t xml:space="preserve">No</x:t>
        </x:is>
      </x:c>
    </x:row>
  </x:sheetData>
  <x:mergeCells>
    <x:mergeCell ref="A1:Z1"/>
    <x:mergeCell ref="A2:Z2"/>
    <x:mergeCell ref="B3:F3"/>
  </x:mergeCells>
  <x:conditionalFormatting sqref="Z5:Z314">
    <x:cfRule type="expression" dxfId="0" priority="1">
      <x:formula>$Z5="Yes"</x:formula>
    </x:cfRule>
  </x:conditionalFormatting>
  <x:conditionalFormatting sqref="Y5:Y314">
    <x:cfRule type="cellIs" dxfId="0" priority="2" operator="lessThan">
      <x:formula>85</x:formula>
    </x:cfRule>
  </x:conditionalFormatting>
  <x:dataValidations count="4">
    <x:dataValidation type="list" allowBlank="1" showDropDown="0" showInputMessage="0" showErrorMessage="0" sqref="F5:F314">
      <x:formula1>=Lists_Ref!$A$158:$A$169</x:formula1>
    </x:dataValidation>
    <x:dataValidation type="list" allowBlank="1" showDropDown="0" showInputMessage="0" showErrorMessage="0" sqref="W5:W314">
      <x:formula1>=Lists_Ref!$A$96:$A$97</x:formula1>
    </x:dataValidation>
    <x:dataValidation type="list" allowBlank="1" showDropDown="0" showInputMessage="0" showErrorMessage="0" sqref="X5:X314">
      <x:formula1>=Lists_Ref!$A$118:$A$122</x:formula1>
    </x:dataValidation>
    <x:dataValidation type="list" allowBlank="1" showDropDown="0" showInputMessage="0" showErrorMessage="0" sqref="Z5:Z314">
      <x:formula1>=Lists_Ref!$A$96:$A$97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7e608ab8dd4e7b"/>
  </x:tableParts>
</x:worksheet>
</file>

<file path=xl/worksheets/sheet8.xml><?xml version="1.0" encoding="utf-8"?>
<x:worksheet xmlns:x="http://schemas.openxmlformats.org/spreadsheetml/2006/main">
  <x:sheetPr>
    <x:tabColor rgb="007030A0"/>
  </x:sheetPr>
  <x:sheetViews>
    <x:sheetView showGridLines="0" workbookViewId="0"/>
  </x:sheetViews>
  <x:sheetFormatPr baseColWidth="8" defaultRowHeight="15"/>
  <x:cols>
    <x:col min="1" max="1" width="12" customWidth="1"/>
    <x:col min="2" max="2" width="15" customWidth="1"/>
    <x:col min="3" max="3" width="22" customWidth="1"/>
    <x:col min="4" max="4" width="22" customWidth="1"/>
    <x:col min="5" max="5" width="22" customWidth="1"/>
    <x:col min="6" max="6" width="16" customWidth="1"/>
    <x:col min="7" max="7" width="22" customWidth="1"/>
    <x:col min="8" max="8" width="22" customWidth="1"/>
    <x:col min="9" max="9" width="19" customWidth="1"/>
    <x:col min="10" max="10" width="15" customWidth="1"/>
    <x:col min="11" max="11" width="25" customWidth="1"/>
    <x:col min="12" max="12" width="15" customWidth="1"/>
    <x:col min="13" max="13" width="20" customWidth="1"/>
    <x:col min="14" max="14" width="20" customWidth="1"/>
    <x:col min="15" max="15" width="17" customWidth="1"/>
    <x:col min="16" max="16" width="20" customWidth="1"/>
    <x:col min="17" max="17" width="22" customWidth="1"/>
    <x:col min="18" max="18" width="22" customWidth="1"/>
    <x:col min="19" max="19" width="18" customWidth="1"/>
    <x:col min="20" max="20" width="22" customWidth="1"/>
    <x:col min="21" max="21" width="21" customWidth="1"/>
    <x:col min="22" max="22" width="20" customWidth="1"/>
    <x:col min="23" max="23" width="17" customWidth="1"/>
    <x:col min="24" max="24" width="13" customWidth="1"/>
    <x:col min="25" max="25" width="18" customWidth="1"/>
    <x:col min="26" max="26" width="16" customWidth="1"/>
    <x:col min="27" max="27" width="13" customWidth="1"/>
    <x:col min="28" max="28" width="13" customWidth="1"/>
    <x:col min="29" max="29" width="13" customWidth="1"/>
    <x:col min="30" max="30" width="18" customWidth="1"/>
  </x:cols>
  <x:sheetData>
    <x:row r="1" ht="24" customHeight="1">
      <x:c r="A1" s="1" t="inlineStr">
        <x:is>
          <x:t xml:space="preserve">Audit_Engine_Master</x:t>
        </x:is>
      </x:c>
    </x:row>
    <x:row r="2" ht="36" customHeight="1">
      <x:c r="A2" s="2" t="inlineStr">
        <x:is>
          <x:t xml:space="preserve">Fields in blue are intended for user or backend inputs. Black text cells are formulas. Review orange-highlighted items before finalization.</x:t>
        </x:is>
      </x:c>
    </x:row>
    <x:row r="3">
      <x:c r="A3" s="8" t="inlineStr">
        <x:is>
          <x:t xml:space="preserve">Control Note</x:t>
        </x:is>
      </x:c>
      <x:c r="B3" s="8" t="inlineStr">
        <x:is>
          <x:t xml:space="preserve">Populate / import source data first, then review formula-driven sheets and clear all CHECK / Yes exceptions before finalization.</x:t>
        </x:is>
      </x:c>
    </x:row>
    <x:row r="4" ht="30" customHeight="1">
      <x:c r="A4" s="4" t="inlineStr">
        <x:is>
          <x:t xml:space="preserve">Record_ID</x:t>
        </x:is>
      </x:c>
      <x:c r="B4" s="4" t="inlineStr">
        <x:is>
          <x:t xml:space="preserve">Engagement_ID</x:t>
        </x:is>
      </x:c>
      <x:c r="C4" s="4" t="inlineStr">
        <x:is>
          <x:t xml:space="preserve">Client_Name</x:t>
        </x:is>
      </x:c>
      <x:c r="D4" s="4" t="inlineStr">
        <x:is>
          <x:t xml:space="preserve">Entity_Type</x:t>
        </x:is>
      </x:c>
      <x:c r="E4" s="4" t="inlineStr">
        <x:is>
          <x:t xml:space="preserve">Industry_Type</x:t>
        </x:is>
      </x:c>
      <x:c r="F4" s="4" t="inlineStr">
        <x:is>
          <x:t xml:space="preserve">Financial_Year</x:t>
        </x:is>
      </x:c>
      <x:c r="G4" s="4" t="inlineStr">
        <x:is>
          <x:t xml:space="preserve">Reporting_Framework</x:t>
        </x:is>
      </x:c>
      <x:c r="H4" s="4" t="inlineStr">
        <x:is>
          <x:t xml:space="preserve">Audit_Type</x:t>
        </x:is>
      </x:c>
      <x:c r="I4" s="4" t="inlineStr">
        <x:is>
          <x:t xml:space="preserve">Engagement_Status</x:t>
        </x:is>
      </x:c>
      <x:c r="J4" s="4" t="inlineStr">
        <x:is>
          <x:t xml:space="preserve">Materiality_Amount</x:t>
        </x:is>
      </x:c>
      <x:c r="K4" s="4" t="inlineStr">
        <x:is>
          <x:t xml:space="preserve">Performance_Materiality</x:t>
        </x:is>
      </x:c>
      <x:c r="L4" s="4" t="inlineStr">
        <x:is>
          <x:t xml:space="preserve">Triviality_Threshold</x:t>
        </x:is>
      </x:c>
      <x:c r="M4" s="4" t="inlineStr">
        <x:is>
          <x:t xml:space="preserve">Risk_Level_Overall</x:t>
        </x:is>
      </x:c>
      <x:c r="N4" s="4" t="inlineStr">
        <x:is>
          <x:t xml:space="preserve">Going_Concern_Flag</x:t>
        </x:is>
      </x:c>
      <x:c r="O4" s="4" t="inlineStr">
        <x:is>
          <x:t xml:space="preserve">Fraud_Risk_Flag</x:t>
        </x:is>
      </x:c>
      <x:c r="P4" s="4" t="inlineStr">
        <x:is>
          <x:t xml:space="preserve">Related_Party_Flag</x:t>
        </x:is>
      </x:c>
      <x:c r="Q4" s="4" t="inlineStr">
        <x:is>
          <x:t xml:space="preserve">Laws_Regulation_Flag</x:t>
        </x:is>
      </x:c>
      <x:c r="R4" s="4" t="inlineStr">
        <x:is>
          <x:t xml:space="preserve">Component_Audit_Flag</x:t>
        </x:is>
      </x:c>
      <x:c r="S4" s="4" t="inlineStr">
        <x:is>
          <x:t xml:space="preserve">Group_Audit_Flag</x:t>
        </x:is>
      </x:c>
      <x:c r="T4" s="4" t="inlineStr">
        <x:is>
          <x:t xml:space="preserve">IT_System_Type</x:t>
        </x:is>
      </x:c>
      <x:c r="U4" s="4" t="inlineStr">
        <x:is>
          <x:t xml:space="preserve">Internal_Audit_Flag</x:t>
        </x:is>
      </x:c>
      <x:c r="V4" s="4" t="inlineStr">
        <x:is>
          <x:t xml:space="preserve">Use_of_Expert_Flag</x:t>
        </x:is>
      </x:c>
      <x:c r="W4" s="4" t="inlineStr">
        <x:is>
          <x:t xml:space="preserve">Sampling_Method</x:t>
        </x:is>
      </x:c>
      <x:c r="X4" s="4" t="inlineStr">
        <x:is>
          <x:t xml:space="preserve">Data_Source</x:t>
        </x:is>
      </x:c>
      <x:c r="Y4" s="4" t="inlineStr">
        <x:is>
          <x:t xml:space="preserve">Confidence_Level</x:t>
        </x:is>
      </x:c>
      <x:c r="Z4" s="4" t="inlineStr">
        <x:is>
          <x:t xml:space="preserve">Exception_Flag</x:t>
        </x:is>
      </x:c>
      <x:c r="AA4" s="4" t="inlineStr">
        <x:is>
          <x:t xml:space="preserve">Prepared_By</x:t>
        </x:is>
      </x:c>
      <x:c r="AB4" s="4" t="inlineStr">
        <x:is>
          <x:t xml:space="preserve">Reviewed_By</x:t>
        </x:is>
      </x:c>
      <x:c r="AC4" s="4" t="inlineStr">
        <x:is>
          <x:t xml:space="preserve">Approved_By</x:t>
        </x:is>
      </x:c>
      <x:c r="AD4" s="4" t="inlineStr">
        <x:is>
          <x:t xml:space="preserve">Timestamp</x:t>
        </x:is>
      </x:c>
    </x:row>
    <x:row r="5" ht="20" customHeight="1">
      <x:c r="A5" s="5" t="inlineStr">
        <x:is>
          <x:t xml:space="preserve">AUD-0001</x:t>
        </x:is>
      </x:c>
      <x:c r="B5" s="5" t="inlineStr">
        <x:is>
          <x:t xml:space="preserve">ENG-001</x:t>
        </x:is>
      </x:c>
      <x:c r="C5" s="12" t="str">
        <x:f>IF(B5="","",Entity_Profile!$B$5)</x:f>
        <x:v>ABC Manufacturing (Private) Limited</x:v>
      </x:c>
      <x:c r="D5" s="5" t="inlineStr">
        <x:is>
          <x:t xml:space="preserve">Private Limited</x:t>
        </x:is>
      </x:c>
      <x:c r="E5" s="5" t="inlineStr">
        <x:is>
          <x:t xml:space="preserve">Manufacturing</x:t>
        </x:is>
      </x:c>
      <x:c r="F5" s="5" t="inlineStr">
        <x:is>
          <x:t xml:space="preserve">01-Jul-2024 to 30-Jun-2025</x:t>
        </x:is>
      </x:c>
      <x:c r="G5" s="5" t="inlineStr">
        <x:is>
          <x:t xml:space="preserve">IFRS</x:t>
        </x:is>
      </x:c>
      <x:c r="H5" s="5" t="inlineStr">
        <x:is>
          <x:t xml:space="preserve">Statutory Audit</x:t>
        </x:is>
      </x:c>
      <x:c r="I5" s="5" t="inlineStr">
        <x:is>
          <x:t xml:space="preserve">Planning</x:t>
        </x:is>
      </x:c>
      <x:c r="J5" s="10" t="n">
        <x:v>2000000</x:v>
      </x:c>
      <x:c r="K5" s="10" t="n">
        <x:v>1500000</x:v>
      </x:c>
      <x:c r="L5" s="10" t="n">
        <x:v>50000</x:v>
      </x:c>
      <x:c r="M5" s="5" t="inlineStr">
        <x:is>
          <x:t xml:space="preserve">High</x:t>
        </x:is>
      </x:c>
      <x:c r="N5" s="5" t="inlineStr">
        <x:is>
          <x:t xml:space="preserve">Yes</x:t>
        </x:is>
      </x:c>
      <x:c r="O5" s="5" t="inlineStr">
        <x:is>
          <x:t xml:space="preserve">Yes</x:t>
        </x:is>
      </x:c>
      <x:c r="P5" s="5" t="inlineStr">
        <x:is>
          <x:t xml:space="preserve">Yes</x:t>
        </x:is>
      </x:c>
      <x:c r="Q5" s="5" t="inlineStr">
        <x:is>
          <x:t xml:space="preserve">Yes</x:t>
        </x:is>
      </x:c>
      <x:c r="R5" s="5" t="inlineStr">
        <x:is>
          <x:t xml:space="preserve">No</x:t>
        </x:is>
      </x:c>
      <x:c r="S5" s="5" t="inlineStr">
        <x:is>
          <x:t xml:space="preserve">No</x:t>
        </x:is>
      </x:c>
      <x:c r="T5" s="5" t="inlineStr">
        <x:is>
          <x:t xml:space="preserve">ERP</x:t>
        </x:is>
      </x:c>
      <x:c r="U5" s="5" t="inlineStr">
        <x:is>
          <x:t xml:space="preserve">Yes</x:t>
        </x:is>
      </x:c>
      <x:c r="V5" s="5" t="inlineStr">
        <x:is>
          <x:t xml:space="preserve">No</x:t>
        </x:is>
      </x:c>
      <x:c r="W5" s="5" t="inlineStr">
        <x:is>
          <x:t xml:space="preserve">MUS</x:t>
        </x:is>
      </x:c>
      <x:c r="X5" s="5" t="inlineStr">
        <x:is>
          <x:t xml:space="preserve">System Generated</x:t>
        </x:is>
      </x:c>
      <x:c r="Y5" s="10" t="n">
        <x:v>95</x:v>
      </x:c>
      <x:c r="Z5" s="5" t="inlineStr">
        <x:is>
          <x:t xml:space="preserve">No</x:t>
        </x:is>
      </x:c>
      <x:c r="AA5" s="5" t="inlineStr">
        <x:is>
          <x:t xml:space="preserve">Associate 1</x:t>
        </x:is>
      </x:c>
      <x:c r="AB5" s="5" t="inlineStr">
        <x:is>
          <x:t xml:space="preserve">Manager 1</x:t>
        </x:is>
      </x:c>
      <x:c r="AC5" s="5" t="inlineStr">
        <x:is>
          <x:t xml:space="preserve">Partner 1</x:t>
        </x:is>
      </x:c>
      <x:c r="AD5" s="24" t="n">
        <x:v>46116.39583333334</x:v>
      </x:c>
    </x:row>
  </x:sheetData>
  <x:mergeCells>
    <x:mergeCell ref="A2:AD2"/>
    <x:mergeCell ref="A1:AD1"/>
    <x:mergeCell ref="B3:F3"/>
  </x:mergeCells>
  <x:conditionalFormatting sqref="Z5:Z305">
    <x:cfRule type="expression" dxfId="0" priority="1">
      <x:formula>$Z5="Yes"</x:formula>
    </x:cfRule>
  </x:conditionalFormatting>
  <x:conditionalFormatting sqref="Y5:Y305">
    <x:cfRule type="cellIs" dxfId="0" priority="2" operator="lessThan">
      <x:formula>85</x:formula>
    </x:cfRule>
  </x:conditionalFormatting>
  <x:dataValidations count="17">
    <x:dataValidation type="list" allowBlank="1" showDropDown="0" showInputMessage="0" showErrorMessage="0" sqref="D5:D305">
      <x:formula1>=Lists_Ref!$A$5:$A$14</x:formula1>
    </x:dataValidation>
    <x:dataValidation type="list" allowBlank="1" showDropDown="0" showInputMessage="0" showErrorMessage="0" sqref="E5:E305">
      <x:formula1>=Lists_Ref!$A$17:$A$31</x:formula1>
    </x:dataValidation>
    <x:dataValidation type="list" allowBlank="1" showDropDown="0" showInputMessage="0" showErrorMessage="0" sqref="G5:G305">
      <x:formula1>=Lists_Ref!$A$34:$A$38</x:formula1>
    </x:dataValidation>
    <x:dataValidation type="list" allowBlank="1" showDropDown="0" showInputMessage="0" showErrorMessage="0" sqref="H5:H305">
      <x:formula1>=Lists_Ref!$A$41:$A$46</x:formula1>
    </x:dataValidation>
    <x:dataValidation type="list" allowBlank="1" showDropDown="0" showInputMessage="0" showErrorMessage="0" sqref="I5:I305">
      <x:formula1>=Lists_Ref!$A$49:$A$54</x:formula1>
    </x:dataValidation>
    <x:dataValidation type="list" allowBlank="1" showDropDown="0" showInputMessage="0" showErrorMessage="0" sqref="M5:M305">
      <x:formula1>=Lists_Ref!$A$100:$A$103</x:formula1>
    </x:dataValidation>
    <x:dataValidation type="list" allowBlank="1" showDropDown="0" showInputMessage="0" showErrorMessage="0" sqref="N5:N305">
      <x:formula1>=Lists_Ref!$A$96:$A$97</x:formula1>
    </x:dataValidation>
    <x:dataValidation type="list" allowBlank="1" showDropDown="0" showInputMessage="0" showErrorMessage="0" sqref="O5:O305">
      <x:formula1>=Lists_Ref!$A$96:$A$97</x:formula1>
    </x:dataValidation>
    <x:dataValidation type="list" allowBlank="1" showDropDown="0" showInputMessage="0" showErrorMessage="0" sqref="P5:P305">
      <x:formula1>=Lists_Ref!$A$96:$A$97</x:formula1>
    </x:dataValidation>
    <x:dataValidation type="list" allowBlank="1" showDropDown="0" showInputMessage="0" showErrorMessage="0" sqref="Q5:Q305">
      <x:formula1>=Lists_Ref!$A$96:$A$97</x:formula1>
    </x:dataValidation>
    <x:dataValidation type="list" allowBlank="1" showDropDown="0" showInputMessage="0" showErrorMessage="0" sqref="R5:R305">
      <x:formula1>=Lists_Ref!$A$96:$A$97</x:formula1>
    </x:dataValidation>
    <x:dataValidation type="list" allowBlank="1" showDropDown="0" showInputMessage="0" showErrorMessage="0" sqref="S5:S305">
      <x:formula1>=Lists_Ref!$A$96:$A$97</x:formula1>
    </x:dataValidation>
    <x:dataValidation type="list" allowBlank="1" showDropDown="0" showInputMessage="0" showErrorMessage="0" sqref="U5:U305">
      <x:formula1>=Lists_Ref!$A$96:$A$97</x:formula1>
    </x:dataValidation>
    <x:dataValidation type="list" allowBlank="1" showDropDown="0" showInputMessage="0" showErrorMessage="0" sqref="V5:V305">
      <x:formula1>=Lists_Ref!$A$96:$A$97</x:formula1>
    </x:dataValidation>
    <x:dataValidation type="list" allowBlank="1" showDropDown="0" showInputMessage="0" showErrorMessage="0" sqref="W5:W305">
      <x:formula1>=Lists_Ref!$A$172:$A$178</x:formula1>
    </x:dataValidation>
    <x:dataValidation type="list" allowBlank="1" showDropDown="0" showInputMessage="0" showErrorMessage="0" sqref="X5:X305">
      <x:formula1>=Lists_Ref!$A$118:$A$122</x:formula1>
    </x:dataValidation>
    <x:dataValidation type="list" allowBlank="1" showDropDown="0" showInputMessage="0" showErrorMessage="0" sqref="Z5:Z305">
      <x:formula1>=Lists_Ref!$A$96:$A$97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b72dec9c894b7b"/>
  </x:tableParts>
</x:worksheet>
</file>

<file path=xl/worksheets/sheet9.xml><?xml version="1.0" encoding="utf-8"?>
<x:worksheet xmlns:x="http://schemas.openxmlformats.org/spreadsheetml/2006/main">
  <x:sheetPr>
    <x:tabColor rgb="007030A0"/>
  </x:sheetPr>
  <x:sheetViews>
    <x:sheetView showGridLines="0" workbookViewId="0"/>
  </x:sheetViews>
  <x:sheetFormatPr baseColWidth="8" defaultRowHeight="15"/>
  <x:cols>
    <x:col min="1" max="1" width="12" customWidth="1"/>
    <x:col min="2" max="2" width="22" customWidth="1"/>
    <x:col min="3" max="3" width="12" customWidth="1"/>
    <x:col min="4" max="4" width="28" customWidth="1"/>
    <x:col min="5" max="5" width="22" customWidth="1"/>
    <x:col min="6" max="6" width="15" customWidth="1"/>
    <x:col min="7" max="7" width="16" customWidth="1"/>
    <x:col min="8" max="8" width="12" customWidth="1"/>
    <x:col min="9" max="9" width="12" customWidth="1"/>
    <x:col min="10" max="10" width="28" customWidth="1"/>
  </x:cols>
  <x:sheetData>
    <x:row r="1" ht="24" customHeight="1">
      <x:c r="A1" s="1" t="inlineStr">
        <x:is>
          <x:t xml:space="preserve">WP_Trigger_Engine</x:t>
        </x:is>
      </x:c>
    </x:row>
    <x:row r="2" ht="36" customHeight="1">
      <x:c r="A2" s="2" t="inlineStr">
        <x:is>
          <x:t xml:space="preserve">Fields in blue are intended for user or backend inputs. Black text cells are formulas. Review orange-highlighted items before finalization.</x:t>
        </x:is>
      </x:c>
    </x:row>
    <x:row r="4" ht="30" customHeight="1">
      <x:c r="A4" s="4" t="inlineStr">
        <x:is>
          <x:t xml:space="preserve">WP_Code</x:t>
        </x:is>
      </x:c>
      <x:c r="B4" s="4" t="inlineStr">
        <x:is>
          <x:t xml:space="preserve">WP_Name</x:t>
        </x:is>
      </x:c>
      <x:c r="C4" s="4" t="inlineStr">
        <x:is>
          <x:t xml:space="preserve">Category</x:t>
        </x:is>
      </x:c>
      <x:c r="D4" s="4" t="inlineStr">
        <x:is>
          <x:t xml:space="preserve">Trigger_Condition</x:t>
        </x:is>
      </x:c>
      <x:c r="E4" s="4" t="inlineStr">
        <x:is>
          <x:t xml:space="preserve">ISA_Reference</x:t>
        </x:is>
      </x:c>
      <x:c r="F4" s="4" t="inlineStr">
        <x:is>
          <x:t xml:space="preserve">Output_Format</x:t>
        </x:is>
      </x:c>
      <x:c r="G4" s="4" t="inlineStr">
        <x:is>
          <x:t xml:space="preserve">Mandatory_Flag</x:t>
        </x:is>
      </x:c>
      <x:c r="H4" s="4" t="inlineStr">
        <x:is>
          <x:t xml:space="preserve">Owner_Role</x:t>
        </x:is>
      </x:c>
      <x:c r="I4" s="4" t="inlineStr">
        <x:is>
          <x:t xml:space="preserve">Status</x:t>
        </x:is>
      </x:c>
      <x:c r="J4" s="4" t="inlineStr">
        <x:is>
          <x:t xml:space="preserve">Notes</x:t>
        </x:is>
      </x:c>
    </x:row>
    <x:row r="5" ht="20" customHeight="1">
      <x:c r="A5" s="5" t="inlineStr">
        <x:is>
          <x:t xml:space="preserve">A1</x:t>
        </x:is>
      </x:c>
      <x:c r="B5" s="5" t="inlineStr">
        <x:is>
          <x:t xml:space="preserve">Engagement Letter</x:t>
        </x:is>
      </x:c>
      <x:c r="C5" s="5" t="inlineStr">
        <x:is>
          <x:t xml:space="preserve">Planning</x:t>
        </x:is>
      </x:c>
      <x:c r="D5" s="5" t="inlineStr">
        <x:is>
          <x:t xml:space="preserve">Always</x:t>
        </x:is>
      </x:c>
      <x:c r="E5" s="5" t="inlineStr">
        <x:is>
          <x:t xml:space="preserve">ISA 210</x:t>
        </x:is>
      </x:c>
      <x:c r="F5" s="5" t="inlineStr">
        <x:is>
          <x:t xml:space="preserve">Word</x:t>
        </x:is>
      </x:c>
      <x:c r="G5" s="5" t="inlineStr">
        <x:is>
          <x:t xml:space="preserve">Yes</x:t>
        </x:is>
      </x:c>
      <x:c r="H5" s="5" t="inlineStr">
        <x:is>
          <x:t xml:space="preserve">Manager</x:t>
        </x:is>
      </x:c>
      <x:c r="I5" s="5" t="inlineStr">
        <x:is>
          <x:t xml:space="preserve">Prepared</x:t>
        </x:is>
      </x:c>
      <x:c r="J5" s="5" t="inlineStr">
        <x:is>
          <x:t xml:space="preserve"/>
        </x:is>
      </x:c>
    </x:row>
    <x:row r="6" ht="20" customHeight="1">
      <x:c r="A6" s="5" t="inlineStr">
        <x:is>
          <x:t xml:space="preserve">B1</x:t>
        </x:is>
      </x:c>
      <x:c r="B6" s="5" t="inlineStr">
        <x:is>
          <x:t xml:space="preserve">Understanding the Entity</x:t>
        </x:is>
      </x:c>
      <x:c r="C6" s="5" t="inlineStr">
        <x:is>
          <x:t xml:space="preserve">Planning</x:t>
        </x:is>
      </x:c>
      <x:c r="D6" s="5" t="inlineStr">
        <x:is>
          <x:t xml:space="preserve">Always</x:t>
        </x:is>
      </x:c>
      <x:c r="E6" s="5" t="inlineStr">
        <x:is>
          <x:t xml:space="preserve">ISA 315</x:t>
        </x:is>
      </x:c>
      <x:c r="F6" s="5" t="inlineStr">
        <x:is>
          <x:t xml:space="preserve">Word</x:t>
        </x:is>
      </x:c>
      <x:c r="G6" s="5" t="inlineStr">
        <x:is>
          <x:t xml:space="preserve">Yes</x:t>
        </x:is>
      </x:c>
      <x:c r="H6" s="5" t="inlineStr">
        <x:is>
          <x:t xml:space="preserve">Senior</x:t>
        </x:is>
      </x:c>
      <x:c r="I6" s="5" t="inlineStr">
        <x:is>
          <x:t xml:space="preserve">In Progress</x:t>
        </x:is>
      </x:c>
      <x:c r="J6" s="5" t="inlineStr">
        <x:is>
          <x:t xml:space="preserve"/>
        </x:is>
      </x:c>
    </x:row>
    <x:row r="7" ht="20" customHeight="1">
      <x:c r="A7" s="5" t="inlineStr">
        <x:is>
          <x:t xml:space="preserve">B3</x:t>
        </x:is>
      </x:c>
      <x:c r="B7" s="5" t="inlineStr">
        <x:is>
          <x:t xml:space="preserve">Risk Assessment Summary</x:t>
        </x:is>
      </x:c>
      <x:c r="C7" s="5" t="inlineStr">
        <x:is>
          <x:t xml:space="preserve">Planning</x:t>
        </x:is>
      </x:c>
      <x:c r="D7" s="5" t="inlineStr">
        <x:is>
          <x:t xml:space="preserve">Risk_Level_Overall in (High, Significant)</x:t>
        </x:is>
      </x:c>
      <x:c r="E7" s="5" t="inlineStr">
        <x:is>
          <x:t xml:space="preserve">ISA 315</x:t>
        </x:is>
      </x:c>
      <x:c r="F7" s="5" t="inlineStr">
        <x:is>
          <x:t xml:space="preserve">Excel</x:t>
        </x:is>
      </x:c>
      <x:c r="G7" s="5" t="inlineStr">
        <x:is>
          <x:t xml:space="preserve">Yes</x:t>
        </x:is>
      </x:c>
      <x:c r="H7" s="5" t="inlineStr">
        <x:is>
          <x:t xml:space="preserve">Manager</x:t>
        </x:is>
      </x:c>
      <x:c r="I7" s="5" t="inlineStr">
        <x:is>
          <x:t xml:space="preserve">Not Started</x:t>
        </x:is>
      </x:c>
      <x:c r="J7" s="5" t="inlineStr">
        <x:is>
          <x:t xml:space="preserve"/>
        </x:is>
      </x:c>
    </x:row>
    <x:row r="8" ht="20" customHeight="1">
      <x:c r="A8" s="5" t="inlineStr">
        <x:is>
          <x:t xml:space="preserve">C2</x:t>
        </x:is>
      </x:c>
      <x:c r="B8" s="5" t="inlineStr">
        <x:is>
          <x:t xml:space="preserve">Analytical Review</x:t>
        </x:is>
      </x:c>
      <x:c r="C8" s="5" t="inlineStr">
        <x:is>
          <x:t xml:space="preserve">Fieldwork</x:t>
        </x:is>
      </x:c>
      <x:c r="D8" s="5" t="inlineStr">
        <x:is>
          <x:t xml:space="preserve">Variance &gt; Materiality OR threshold breached</x:t>
        </x:is>
      </x:c>
      <x:c r="E8" s="5" t="inlineStr">
        <x:is>
          <x:t xml:space="preserve">ISA 520</x:t>
        </x:is>
      </x:c>
      <x:c r="F8" s="5" t="inlineStr">
        <x:is>
          <x:t xml:space="preserve">Excel</x:t>
        </x:is>
      </x:c>
      <x:c r="G8" s="5" t="inlineStr">
        <x:is>
          <x:t xml:space="preserve">Yes</x:t>
        </x:is>
      </x:c>
      <x:c r="H8" s="5" t="inlineStr">
        <x:is>
          <x:t xml:space="preserve">Senior</x:t>
        </x:is>
      </x:c>
      <x:c r="I8" s="5" t="inlineStr">
        <x:is>
          <x:t xml:space="preserve">Not Started</x:t>
        </x:is>
      </x:c>
      <x:c r="J8" s="5" t="inlineStr">
        <x:is>
          <x:t xml:space="preserve"/>
        </x:is>
      </x:c>
    </x:row>
    <x:row r="9" ht="20" customHeight="1">
      <x:c r="A9" s="5" t="inlineStr">
        <x:is>
          <x:t xml:space="preserve">D5</x:t>
        </x:is>
      </x:c>
      <x:c r="B9" s="5" t="inlineStr">
        <x:is>
          <x:t xml:space="preserve">Related Party Testing</x:t>
        </x:is>
      </x:c>
      <x:c r="C9" s="5" t="inlineStr">
        <x:is>
          <x:t xml:space="preserve">Fieldwork</x:t>
        </x:is>
      </x:c>
      <x:c r="D9" s="5" t="inlineStr">
        <x:is>
          <x:t xml:space="preserve">Related_Party_Flag = Yes</x:t>
        </x:is>
      </x:c>
      <x:c r="E9" s="5" t="inlineStr">
        <x:is>
          <x:t xml:space="preserve">ISA 550</x:t>
        </x:is>
      </x:c>
      <x:c r="F9" s="5" t="inlineStr">
        <x:is>
          <x:t xml:space="preserve">Excel</x:t>
        </x:is>
      </x:c>
      <x:c r="G9" s="5" t="inlineStr">
        <x:is>
          <x:t xml:space="preserve">Yes</x:t>
        </x:is>
      </x:c>
      <x:c r="H9" s="5" t="inlineStr">
        <x:is>
          <x:t xml:space="preserve">Senior</x:t>
        </x:is>
      </x:c>
      <x:c r="I9" s="5" t="inlineStr">
        <x:is>
          <x:t xml:space="preserve">Not Started</x:t>
        </x:is>
      </x:c>
      <x:c r="J9" s="5" t="inlineStr">
        <x:is>
          <x:t xml:space="preserve"/>
        </x:is>
      </x:c>
    </x:row>
    <x:row r="10" ht="20" customHeight="1">
      <x:c r="A10" s="5" t="inlineStr">
        <x:is>
          <x:t xml:space="preserve">E1</x:t>
        </x:is>
      </x:c>
      <x:c r="B10" s="5" t="inlineStr">
        <x:is>
          <x:t xml:space="preserve">Going Concern Review</x:t>
        </x:is>
      </x:c>
      <x:c r="C10" s="5" t="inlineStr">
        <x:is>
          <x:t xml:space="preserve">Completion</x:t>
        </x:is>
      </x:c>
      <x:c r="D10" s="5" t="inlineStr">
        <x:is>
          <x:t xml:space="preserve">Going_Concern_Flag = Yes</x:t>
        </x:is>
      </x:c>
      <x:c r="E10" s="5" t="inlineStr">
        <x:is>
          <x:t xml:space="preserve">ISA 570</x:t>
        </x:is>
      </x:c>
      <x:c r="F10" s="5" t="inlineStr">
        <x:is>
          <x:t xml:space="preserve">Word</x:t>
        </x:is>
      </x:c>
      <x:c r="G10" s="5" t="inlineStr">
        <x:is>
          <x:t xml:space="preserve">Yes</x:t>
        </x:is>
      </x:c>
      <x:c r="H10" s="5" t="inlineStr">
        <x:is>
          <x:t xml:space="preserve">Manager</x:t>
        </x:is>
      </x:c>
      <x:c r="I10" s="5" t="inlineStr">
        <x:is>
          <x:t xml:space="preserve">Not Started</x:t>
        </x:is>
      </x:c>
      <x:c r="J10" s="5" t="inlineStr">
        <x:is>
          <x:t xml:space="preserve"/>
        </x:is>
      </x:c>
    </x:row>
  </x:sheetData>
  <x:mergeCells>
    <x:mergeCell ref="A1:J1"/>
    <x:mergeCell ref="A2:J2"/>
  </x:mergeCells>
  <x:dataValidations count="3">
    <x:dataValidation type="list" allowBlank="1" showDropDown="0" showInputMessage="0" showErrorMessage="0" sqref="F5:F310">
      <x:formula1>=Lists_Ref!$A$125:$A$129</x:formula1>
    </x:dataValidation>
    <x:dataValidation type="list" allowBlank="1" showDropDown="0" showInputMessage="0" showErrorMessage="0" sqref="G5:G310">
      <x:formula1>=Lists_Ref!$A$96:$A$97</x:formula1>
    </x:dataValidation>
    <x:dataValidation type="list" allowBlank="1" showDropDown="0" showInputMessage="0" showErrorMessage="0" sqref="I5:I310">
      <x:formula1>=Lists_Ref!$A$199:$A$204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880de61ba844d9"/>
  </x:tableParts>
</x:worksheet>
</file>

<file path=xl/worksheets/sheet10.xml><?xml version="1.0" encoding="utf-8"?>
<x:worksheet xmlns:x="http://schemas.openxmlformats.org/spreadsheetml/2006/main">
  <x:sheetPr>
    <x:tabColor rgb="007030A0"/>
  </x:sheetPr>
  <x:sheetViews>
    <x:sheetView showGridLines="0" workbookViewId="0"/>
  </x:sheetViews>
  <x:sheetFormatPr baseColWidth="8" defaultRowHeight="15"/>
  <x:cols>
    <x:col min="1" max="1" width="22" customWidth="1"/>
    <x:col min="2" max="2" width="12" customWidth="1"/>
    <x:col min="3" max="3" width="12" customWidth="1"/>
    <x:col min="4" max="4" width="14" customWidth="1"/>
    <x:col min="5" max="5" width="28" customWidth="1"/>
  </x:cols>
  <x:sheetData>
    <x:row r="1" ht="24" customHeight="1">
      <x:c r="A1" s="1" t="inlineStr">
        <x:is>
          <x:t xml:space="preserve">Assertion_Linkage</x:t>
        </x:is>
      </x:c>
    </x:row>
    <x:row r="2" ht="36" customHeight="1">
      <x:c r="A2" s="2" t="inlineStr">
        <x:is>
          <x:t xml:space="preserve">Fields in blue are intended for user or backend inputs. Black text cells are formulas. Review orange-highlighted items before finalization.</x:t>
        </x:is>
      </x:c>
    </x:row>
    <x:row r="4" ht="30" customHeight="1">
      <x:c r="A4" s="4" t="inlineStr">
        <x:is>
          <x:t xml:space="preserve">Account_Type_or_FS_Line</x:t>
        </x:is>
      </x:c>
      <x:c r="B4" s="4" t="inlineStr">
        <x:is>
          <x:t xml:space="preserve">Assertion</x:t>
        </x:is>
      </x:c>
      <x:c r="C4" s="4" t="inlineStr">
        <x:is>
          <x:t xml:space="preserve">WP_Link</x:t>
        </x:is>
      </x:c>
      <x:c r="D4" s="4" t="inlineStr">
        <x:is>
          <x:t xml:space="preserve">Primary_Test</x:t>
        </x:is>
      </x:c>
      <x:c r="E4" s="4" t="inlineStr">
        <x:is>
          <x:t xml:space="preserve">Notes</x:t>
        </x:is>
      </x:c>
    </x:row>
    <x:row r="5" ht="20" customHeight="1">
      <x:c r="A5" s="5" t="inlineStr">
        <x:is>
          <x:t xml:space="preserve">Receivables</x:t>
        </x:is>
      </x:c>
      <x:c r="B5" s="5" t="inlineStr">
        <x:is>
          <x:t xml:space="preserve">Existence</x:t>
        </x:is>
      </x:c>
      <x:c r="C5" s="5" t="inlineStr">
        <x:is>
          <x:t xml:space="preserve">Debtor Confirmation</x:t>
        </x:is>
      </x:c>
      <x:c r="D5" s="5" t="inlineStr">
        <x:is>
          <x:t xml:space="preserve">Substantive</x:t>
        </x:is>
      </x:c>
      <x:c r="E5" s="5" t="inlineStr">
        <x:is>
          <x:t xml:space="preserve"/>
        </x:is>
      </x:c>
    </x:row>
    <x:row r="6" ht="20" customHeight="1">
      <x:c r="A6" s="5" t="inlineStr">
        <x:is>
          <x:t xml:space="preserve">Receivables</x:t>
        </x:is>
      </x:c>
      <x:c r="B6" s="5" t="inlineStr">
        <x:is>
          <x:t xml:space="preserve">Valuation</x:t>
        </x:is>
      </x:c>
      <x:c r="C6" s="5" t="inlineStr">
        <x:is>
          <x:t xml:space="preserve">Expected Credit Loss Review</x:t>
        </x:is>
      </x:c>
      <x:c r="D6" s="5" t="inlineStr">
        <x:is>
          <x:t xml:space="preserve">Analytical</x:t>
        </x:is>
      </x:c>
      <x:c r="E6" s="5" t="inlineStr">
        <x:is>
          <x:t xml:space="preserve"/>
        </x:is>
      </x:c>
    </x:row>
    <x:row r="7" ht="20" customHeight="1">
      <x:c r="A7" s="5" t="inlineStr">
        <x:is>
          <x:t xml:space="preserve">Inventory</x:t>
        </x:is>
      </x:c>
      <x:c r="B7" s="5" t="inlineStr">
        <x:is>
          <x:t xml:space="preserve">Existence</x:t>
        </x:is>
      </x:c>
      <x:c r="C7" s="5" t="inlineStr">
        <x:is>
          <x:t xml:space="preserve">Physical Verification</x:t>
        </x:is>
      </x:c>
      <x:c r="D7" s="5" t="inlineStr">
        <x:is>
          <x:t xml:space="preserve">Observation</x:t>
        </x:is>
      </x:c>
      <x:c r="E7" s="5" t="inlineStr">
        <x:is>
          <x:t xml:space="preserve"/>
        </x:is>
      </x:c>
    </x:row>
    <x:row r="8" ht="20" customHeight="1">
      <x:c r="A8" s="5" t="inlineStr">
        <x:is>
          <x:t xml:space="preserve">Inventory</x:t>
        </x:is>
      </x:c>
      <x:c r="B8" s="5" t="inlineStr">
        <x:is>
          <x:t xml:space="preserve">Valuation</x:t>
        </x:is>
      </x:c>
      <x:c r="C8" s="5" t="inlineStr">
        <x:is>
          <x:t xml:space="preserve">NRV Testing</x:t>
        </x:is>
      </x:c>
      <x:c r="D8" s="5" t="inlineStr">
        <x:is>
          <x:t xml:space="preserve">Substantive</x:t>
        </x:is>
      </x:c>
      <x:c r="E8" s="5" t="inlineStr">
        <x:is>
          <x:t xml:space="preserve"/>
        </x:is>
      </x:c>
    </x:row>
    <x:row r="9" ht="20" customHeight="1">
      <x:c r="A9" s="5" t="inlineStr">
        <x:is>
          <x:t xml:space="preserve">Trade Payables</x:t>
        </x:is>
      </x:c>
      <x:c r="B9" s="5" t="inlineStr">
        <x:is>
          <x:t xml:space="preserve">Completeness</x:t>
        </x:is>
      </x:c>
      <x:c r="C9" s="5" t="inlineStr">
        <x:is>
          <x:t xml:space="preserve">Supplier Reconciliation</x:t>
        </x:is>
      </x:c>
      <x:c r="D9" s="5" t="inlineStr">
        <x:is>
          <x:t xml:space="preserve">Substantive</x:t>
        </x:is>
      </x:c>
      <x:c r="E9" s="5" t="inlineStr">
        <x:is>
          <x:t xml:space="preserve"/>
        </x:is>
      </x:c>
    </x:row>
    <x:row r="10" ht="20" customHeight="1">
      <x:c r="A10" s="5" t="inlineStr">
        <x:is>
          <x:t xml:space="preserve">Revenue</x:t>
        </x:is>
      </x:c>
      <x:c r="B10" s="5" t="inlineStr">
        <x:is>
          <x:t xml:space="preserve">Occurrence</x:t>
        </x:is>
      </x:c>
      <x:c r="C10" s="5" t="inlineStr">
        <x:is>
          <x:t xml:space="preserve">Sales Cut-off &amp; Vouching</x:t>
        </x:is>
      </x:c>
      <x:c r="D10" s="5" t="inlineStr">
        <x:is>
          <x:t xml:space="preserve">Substantive</x:t>
        </x:is>
      </x:c>
      <x:c r="E10" s="5" t="inlineStr">
        <x:is>
          <x:t xml:space="preserve"/>
        </x:is>
      </x:c>
    </x:row>
    <x:row r="11" ht="20" customHeight="1">
      <x:c r="A11" s="5" t="inlineStr">
        <x:is>
          <x:t xml:space="preserve">Payroll</x:t>
        </x:is>
      </x:c>
      <x:c r="B11" s="5" t="inlineStr">
        <x:is>
          <x:t xml:space="preserve">Accuracy</x:t>
        </x:is>
      </x:c>
      <x:c r="C11" s="5" t="inlineStr">
        <x:is>
          <x:t xml:space="preserve">Payroll Reperformance</x:t>
        </x:is>
      </x:c>
      <x:c r="D11" s="5" t="inlineStr">
        <x:is>
          <x:t xml:space="preserve">Reperformance</x:t>
        </x:is>
      </x:c>
      <x:c r="E11" s="5" t="inlineStr">
        <x:is>
          <x:t xml:space="preserve"/>
        </x:is>
      </x:c>
    </x:row>
  </x:sheetData>
  <x:mergeCells>
    <x:mergeCell ref="A2:F2"/>
    <x:mergeCell ref="A1:F1"/>
  </x:mergeCells>
  <x:dataValidations count="2">
    <x:dataValidation type="list" allowBlank="1" showDropDown="0" showInputMessage="0" showErrorMessage="0" sqref="B5:B311">
      <x:formula1>=Lists_Ref!$A$132:$A$140</x:formula1>
    </x:dataValidation>
    <x:dataValidation type="list" allowBlank="1" showDropDown="0" showInputMessage="0" showErrorMessage="0" sqref="D5:D311">
      <x:formula1>=Lists_Ref!$A$190:$A$196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78b5b146c144af"/>
  </x:tableParts>
</x:worksheet>
</file>

<file path=xl/worksheets/sheet11.xml><?xml version="1.0" encoding="utf-8"?>
<x:worksheet xmlns:x="http://schemas.openxmlformats.org/spreadsheetml/2006/main">
  <x:sheetPr>
    <x:tabColor rgb="007030A0"/>
  </x:sheetPr>
  <x:sheetViews>
    <x:sheetView showGridLines="0" workbookViewId="0"/>
  </x:sheetViews>
  <x:sheetFormatPr baseColWidth="8" defaultRowHeight="15"/>
  <x:cols>
    <x:col min="1" max="1" width="12" customWidth="1"/>
    <x:col min="2" max="2" width="18" customWidth="1"/>
    <x:col min="3" max="3" width="17" customWidth="1"/>
    <x:col min="4" max="4" width="17" customWidth="1"/>
    <x:col min="5" max="5" width="17" customWidth="1"/>
    <x:col min="6" max="6" width="25" customWidth="1"/>
    <x:col min="7" max="7" width="28" customWidth="1"/>
  </x:cols>
  <x:sheetData>
    <x:row r="1" ht="24" customHeight="1">
      <x:c r="A1" s="1" t="inlineStr">
        <x:is>
          <x:t xml:space="preserve">Sampling_Rules</x:t>
        </x:is>
      </x:c>
    </x:row>
    <x:row r="2" ht="36" customHeight="1">
      <x:c r="A2" s="2" t="inlineStr">
        <x:is>
          <x:t xml:space="preserve">Fields in blue are intended for user or backend inputs. Black text cells are formulas. Review orange-highlighted items before finalization.</x:t>
        </x:is>
      </x:c>
    </x:row>
    <x:row r="4" ht="30" customHeight="1">
      <x:c r="A4" s="4" t="inlineStr">
        <x:is>
          <x:t xml:space="preserve">Risk_Level</x:t>
        </x:is>
      </x:c>
      <x:c r="B4" s="4" t="inlineStr">
        <x:is>
          <x:t xml:space="preserve">Materiality_Band</x:t>
        </x:is>
      </x:c>
      <x:c r="C4" s="4" t="inlineStr">
        <x:is>
          <x:t xml:space="preserve">Sample_Size_Min</x:t>
        </x:is>
      </x:c>
      <x:c r="D4" s="4" t="inlineStr">
        <x:is>
          <x:t xml:space="preserve">Sample_Size_Max</x:t>
        </x:is>
      </x:c>
      <x:c r="E4" s="4" t="inlineStr">
        <x:is>
          <x:t xml:space="preserve">Coverage_Target</x:t>
        </x:is>
      </x:c>
      <x:c r="F4" s="4" t="inlineStr">
        <x:is>
          <x:t xml:space="preserve">Sampling_Method_Default</x:t>
        </x:is>
      </x:c>
      <x:c r="G4" s="4" t="inlineStr">
        <x:is>
          <x:t xml:space="preserve">Notes</x:t>
        </x:is>
      </x:c>
    </x:row>
    <x:row r="5" ht="20" customHeight="1">
      <x:c r="A5" s="5" t="inlineStr">
        <x:is>
          <x:t xml:space="preserve">High</x:t>
        </x:is>
      </x:c>
      <x:c r="B5" s="5" t="inlineStr">
        <x:is>
          <x:t xml:space="preserve">&gt; Performance Materiality</x:t>
        </x:is>
      </x:c>
      <x:c r="C5" s="10" t="n">
        <x:v>25</x:v>
      </x:c>
      <x:c r="D5" s="10" t="n">
        <x:v>60</x:v>
      </x:c>
      <x:c r="E5" s="5" t="inlineStr">
        <x:is>
          <x:t xml:space="preserve">60%-100%</x:t>
        </x:is>
      </x:c>
      <x:c r="F5" s="5" t="inlineStr">
        <x:is>
          <x:t xml:space="preserve">100% Testing</x:t>
        </x:is>
      </x:c>
      <x:c r="G5" s="5" t="inlineStr">
        <x:is>
          <x:t xml:space="preserve"/>
        </x:is>
      </x:c>
    </x:row>
    <x:row r="6" ht="20" customHeight="1">
      <x:c r="A6" s="5" t="inlineStr">
        <x:is>
          <x:t xml:space="preserve">Medium</x:t>
        </x:is>
      </x:c>
      <x:c r="B6" s="5" t="inlineStr">
        <x:is>
          <x:t xml:space="preserve">&lt;= Performance Materiality</x:t>
        </x:is>
      </x:c>
      <x:c r="C6" s="10" t="n">
        <x:v>10</x:v>
      </x:c>
      <x:c r="D6" s="10" t="n">
        <x:v>25</x:v>
      </x:c>
      <x:c r="E6" s="5" t="inlineStr">
        <x:is>
          <x:t xml:space="preserve">30%-50%</x:t>
        </x:is>
      </x:c>
      <x:c r="F6" s="5" t="inlineStr">
        <x:is>
          <x:t xml:space="preserve">MUS</x:t>
        </x:is>
      </x:c>
      <x:c r="G6" s="5" t="inlineStr">
        <x:is>
          <x:t xml:space="preserve"/>
        </x:is>
      </x:c>
    </x:row>
    <x:row r="7" ht="20" customHeight="1">
      <x:c r="A7" s="5" t="inlineStr">
        <x:is>
          <x:t xml:space="preserve">Low</x:t>
        </x:is>
      </x:c>
      <x:c r="B7" s="5" t="inlineStr">
        <x:is>
          <x:t xml:space="preserve">&lt; Triviality Threshold</x:t>
        </x:is>
      </x:c>
      <x:c r="C7" s="10" t="n">
        <x:v>3</x:v>
      </x:c>
      <x:c r="D7" s="10" t="n">
        <x:v>10</x:v>
      </x:c>
      <x:c r="E7" s="5" t="inlineStr">
        <x:is>
          <x:t xml:space="preserve">10%-20%</x:t>
        </x:is>
      </x:c>
      <x:c r="F7" s="5" t="inlineStr">
        <x:is>
          <x:t xml:space="preserve">Random</x:t>
        </x:is>
      </x:c>
      <x:c r="G7" s="5" t="inlineStr">
        <x:is>
          <x:t xml:space="preserve"/>
        </x:is>
      </x:c>
    </x:row>
    <x:row r="8" ht="20" customHeight="1">
      <x:c r="A8" s="5" t="inlineStr">
        <x:is>
          <x:t xml:space="preserve">Significant</x:t>
        </x:is>
      </x:c>
      <x:c r="B8" s="5" t="inlineStr">
        <x:is>
          <x:t xml:space="preserve">Qualitative significance</x:t>
        </x:is>
      </x:c>
      <x:c r="C8" s="10" t="n">
        <x:v>40</x:v>
      </x:c>
      <x:c r="D8" s="10" t="n">
        <x:v>100</x:v>
      </x:c>
      <x:c r="E8" s="5" t="inlineStr">
        <x:is>
          <x:t xml:space="preserve">Full scope</x:t>
        </x:is>
      </x:c>
      <x:c r="F8" s="5" t="inlineStr">
        <x:is>
          <x:t xml:space="preserve">100% Testing</x:t>
        </x:is>
      </x:c>
      <x:c r="G8" s="5" t="inlineStr">
        <x:is>
          <x:t xml:space="preserve"/>
        </x:is>
      </x:c>
    </x:row>
  </x:sheetData>
  <x:mergeCells>
    <x:mergeCell ref="A2:G2"/>
    <x:mergeCell ref="A1:G1"/>
  </x:mergeCells>
  <x:dataValidations count="2">
    <x:dataValidation type="list" allowBlank="1" showDropDown="0" showInputMessage="0" showErrorMessage="0" sqref="A5:A308">
      <x:formula1>=Lists_Ref!$A$100:$A$103</x:formula1>
    </x:dataValidation>
    <x:dataValidation type="list" allowBlank="1" showDropDown="0" showInputMessage="0" showErrorMessage="0" sqref="F5:F308">
      <x:formula1>=Lists_Ref!$A$172:$A$178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e4184e1a814ef5"/>
  </x:tableParts>
</x:worksheet>
</file>

<file path=xl/worksheets/sheet12.xml><?xml version="1.0" encoding="utf-8"?>
<x:worksheet xmlns:x="http://schemas.openxmlformats.org/spreadsheetml/2006/main">
  <x:sheetPr>
    <x:tabColor rgb="007030A0"/>
  </x:sheetPr>
  <x:sheetViews>
    <x:sheetView showGridLines="0" workbookViewId="0"/>
  </x:sheetViews>
  <x:sheetFormatPr baseColWidth="8" defaultRowHeight="15"/>
  <x:cols>
    <x:col min="1" max="1" width="15" customWidth="1"/>
    <x:col min="2" max="2" width="28" customWidth="1"/>
    <x:col min="3" max="3" width="15" customWidth="1"/>
    <x:col min="4" max="4" width="28" customWidth="1"/>
    <x:col min="5" max="5" width="12" customWidth="1"/>
    <x:col min="6" max="6" width="28" customWidth="1"/>
  </x:cols>
  <x:sheetData>
    <x:row r="1" ht="24" customHeight="1">
      <x:c r="A1" s="1" t="inlineStr">
        <x:is>
          <x:t xml:space="preserve">Analytics_Engine</x:t>
        </x:is>
      </x:c>
    </x:row>
    <x:row r="2" ht="36" customHeight="1">
      <x:c r="A2" s="2" t="inlineStr">
        <x:is>
          <x:t xml:space="preserve">Fields in blue are intended for user or backend inputs. Black text cells are formulas. Review orange-highlighted items before finalization.</x:t>
        </x:is>
      </x:c>
    </x:row>
    <x:row r="4" ht="30" customHeight="1">
      <x:c r="A4" s="4" t="inlineStr">
        <x:is>
          <x:t xml:space="preserve">Ratio_or_Test</x:t>
        </x:is>
      </x:c>
      <x:c r="B4" s="4" t="inlineStr">
        <x:is>
          <x:t xml:space="preserve">Formula_Text</x:t>
        </x:is>
      </x:c>
      <x:c r="C4" s="4" t="inlineStr">
        <x:is>
          <x:t xml:space="preserve">Threshold</x:t>
        </x:is>
      </x:c>
      <x:c r="D4" s="4" t="inlineStr">
        <x:is>
          <x:t xml:space="preserve">WP_Trigger</x:t>
        </x:is>
      </x:c>
      <x:c r="E4" s="4" t="inlineStr">
        <x:is>
          <x:t xml:space="preserve">Owner_Role</x:t>
        </x:is>
      </x:c>
      <x:c r="F4" s="4" t="inlineStr">
        <x:is>
          <x:t xml:space="preserve">Notes</x:t>
        </x:is>
      </x:c>
    </x:row>
    <x:row r="5" ht="20" customHeight="1">
      <x:c r="A5" s="5" t="inlineStr">
        <x:is>
          <x:t xml:space="preserve">Gross Profit %</x:t>
        </x:is>
      </x:c>
      <x:c r="B5" s="5" t="inlineStr">
        <x:is>
          <x:t xml:space="preserve">(Revenue - Cost of Sales) / Revenue</x:t>
        </x:is>
      </x:c>
      <x:c r="C5" s="5" t="inlineStr">
        <x:is>
          <x:t xml:space="preserve">Variance &gt; 10% year-on-year</x:t>
        </x:is>
      </x:c>
      <x:c r="D5" s="5" t="inlineStr">
        <x:is>
          <x:t xml:space="preserve">C2 Analytical Review</x:t>
        </x:is>
      </x:c>
      <x:c r="E5" s="5" t="inlineStr">
        <x:is>
          <x:t xml:space="preserve">Senior</x:t>
        </x:is>
      </x:c>
      <x:c r="F5" s="5" t="inlineStr">
        <x:is>
          <x:t xml:space="preserve"/>
        </x:is>
      </x:c>
    </x:row>
    <x:row r="6" ht="20" customHeight="1">
      <x:c r="A6" s="5" t="inlineStr">
        <x:is>
          <x:t xml:space="preserve">Current Ratio</x:t>
        </x:is>
      </x:c>
      <x:c r="B6" s="5" t="inlineStr">
        <x:is>
          <x:t xml:space="preserve">Current Assets / Current Liabilities</x:t>
        </x:is>
      </x:c>
      <x:c r="C6" s="5" t="inlineStr">
        <x:is>
          <x:t xml:space="preserve">&lt; 1.00</x:t>
        </x:is>
      </x:c>
      <x:c r="D6" s="5" t="inlineStr">
        <x:is>
          <x:t xml:space="preserve">B3 Risk Assessment</x:t>
        </x:is>
      </x:c>
      <x:c r="E6" s="5" t="inlineStr">
        <x:is>
          <x:t xml:space="preserve">Manager</x:t>
        </x:is>
      </x:c>
      <x:c r="F6" s="5" t="inlineStr">
        <x:is>
          <x:t xml:space="preserve"/>
        </x:is>
      </x:c>
    </x:row>
    <x:row r="7" ht="20" customHeight="1">
      <x:c r="A7" s="5" t="inlineStr">
        <x:is>
          <x:t xml:space="preserve">Debtor Days</x:t>
        </x:is>
      </x:c>
      <x:c r="B7" s="5" t="inlineStr">
        <x:is>
          <x:t xml:space="preserve">Trade Receivables / Revenue x 365</x:t>
        </x:is>
      </x:c>
      <x:c r="C7" s="5" t="inlineStr">
        <x:is>
          <x:t xml:space="preserve">&gt; 90 days</x:t>
        </x:is>
      </x:c>
      <x:c r="D7" s="5" t="inlineStr">
        <x:is>
          <x:t xml:space="preserve">AR-01 Receivables Testing</x:t>
        </x:is>
      </x:c>
      <x:c r="E7" s="5" t="inlineStr">
        <x:is>
          <x:t xml:space="preserve">Senior</x:t>
        </x:is>
      </x:c>
      <x:c r="F7" s="5" t="inlineStr">
        <x:is>
          <x:t xml:space="preserve"/>
        </x:is>
      </x:c>
    </x:row>
    <x:row r="8" ht="20" customHeight="1">
      <x:c r="A8" s="5" t="inlineStr">
        <x:is>
          <x:t xml:space="preserve">Inventory Days</x:t>
        </x:is>
      </x:c>
      <x:c r="B8" s="5" t="inlineStr">
        <x:is>
          <x:t xml:space="preserve">Inventory / Cost of Sales x 365</x:t>
        </x:is>
      </x:c>
      <x:c r="C8" s="5" t="inlineStr">
        <x:is>
          <x:t xml:space="preserve">&gt; 120 days</x:t>
        </x:is>
      </x:c>
      <x:c r="D8" s="5" t="inlineStr">
        <x:is>
          <x:t xml:space="preserve">INV-02 Inventory Valuation</x:t>
        </x:is>
      </x:c>
      <x:c r="E8" s="5" t="inlineStr">
        <x:is>
          <x:t xml:space="preserve">Senior</x:t>
        </x:is>
      </x:c>
      <x:c r="F8" s="5" t="inlineStr">
        <x:is>
          <x:t xml:space="preserve"/>
        </x:is>
      </x:c>
    </x:row>
    <x:row r="9" ht="20" customHeight="1">
      <x:c r="A9" s="5" t="inlineStr">
        <x:is>
          <x:t xml:space="preserve">Operating Margin</x:t>
        </x:is>
      </x:c>
      <x:c r="B9" s="5" t="inlineStr">
        <x:is>
          <x:t xml:space="preserve">Operating Profit / Revenue</x:t>
        </x:is>
      </x:c>
      <x:c r="C9" s="5" t="inlineStr">
        <x:is>
          <x:t xml:space="preserve">Variance &gt; 5% year-on-year</x:t>
        </x:is>
      </x:c>
      <x:c r="D9" s="5" t="inlineStr">
        <x:is>
          <x:t xml:space="preserve">C2 Analytical Review</x:t>
        </x:is>
      </x:c>
      <x:c r="E9" s="5" t="inlineStr">
        <x:is>
          <x:t xml:space="preserve">Manager</x:t>
        </x:is>
      </x:c>
      <x:c r="F9" s="5" t="inlineStr">
        <x:is>
          <x:t xml:space="preserve"/>
        </x:is>
      </x:c>
    </x:row>
  </x:sheetData>
  <x:mergeCells>
    <x:mergeCell ref="A2:F2"/>
    <x:mergeCell ref="A1:F1"/>
  </x:mergeCells>
  <x:pageMargins left="0.7" right="0.7" top="0.75" bottom="0.75" header="0.3" footer="0.3"/>
  <x:tableParts count="1">
    <x:tablePart xmlns:r="http://schemas.openxmlformats.org/officeDocument/2006/relationships" r:id="R0b70af2214c84431"/>
  </x:tableParts>
</x:worksheet>
</file>

<file path=xl/worksheets/sheet13.xml><?xml version="1.0" encoding="utf-8"?>
<x:worksheet xmlns:x="http://schemas.openxmlformats.org/spreadsheetml/2006/main">
  <x:sheetPr>
    <x:tabColor rgb="007030A0"/>
  </x:sheetPr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28" customWidth="1"/>
    <x:col min="4" max="4" width="12" customWidth="1"/>
    <x:col min="5" max="5" width="15" customWidth="1"/>
    <x:col min="6" max="6" width="22" customWidth="1"/>
    <x:col min="7" max="7" width="19" customWidth="1"/>
    <x:col min="8" max="8" width="18" customWidth="1"/>
    <x:col min="9" max="9" width="18" customWidth="1"/>
    <x:col min="10" max="10" width="21" customWidth="1"/>
    <x:col min="11" max="11" width="28" customWidth="1"/>
  </x:cols>
  <x:sheetData>
    <x:row r="1" ht="24" customHeight="1">
      <x:c r="A1" s="1" t="inlineStr">
        <x:is>
          <x:t xml:space="preserve">Control_Matrix</x:t>
        </x:is>
      </x:c>
    </x:row>
    <x:row r="2" ht="36" customHeight="1">
      <x:c r="A2" s="2" t="inlineStr">
        <x:is>
          <x:t xml:space="preserve">Fields in blue are intended for user or backend inputs. Black text cells are formulas. Review orange-highlighted items before finalization.</x:t>
        </x:is>
      </x:c>
    </x:row>
    <x:row r="4" ht="30" customHeight="1">
      <x:c r="A4" s="4" t="inlineStr">
        <x:is>
          <x:t xml:space="preserve">Process</x:t>
        </x:is>
      </x:c>
      <x:c r="B4" s="4" t="inlineStr">
        <x:is>
          <x:t xml:space="preserve">Control_ID</x:t>
        </x:is>
      </x:c>
      <x:c r="C4" s="4" t="inlineStr">
        <x:is>
          <x:t xml:space="preserve">Control_Description</x:t>
        </x:is>
      </x:c>
      <x:c r="D4" s="4" t="inlineStr">
        <x:is>
          <x:t xml:space="preserve">Frequency</x:t>
        </x:is>
      </x:c>
      <x:c r="E4" s="4" t="inlineStr">
        <x:is>
          <x:t xml:space="preserve">Control_Owner</x:t>
        </x:is>
      </x:c>
      <x:c r="F4" s="4" t="inlineStr">
        <x:is>
          <x:t xml:space="preserve">Test_Type</x:t>
        </x:is>
      </x:c>
      <x:c r="G4" s="4" t="inlineStr">
        <x:is>
          <x:t xml:space="preserve">Population_Source</x:t>
        </x:is>
      </x:c>
      <x:c r="H4" s="4" t="inlineStr">
        <x:is>
          <x:t xml:space="preserve">Key_Control_Flag</x:t>
        </x:is>
      </x:c>
      <x:c r="I4" s="4" t="inlineStr">
        <x:is>
          <x:t xml:space="preserve">Design_Effective</x:t>
        </x:is>
      </x:c>
      <x:c r="J4" s="4" t="inlineStr">
        <x:is>
          <x:t xml:space="preserve">Operating_Effective</x:t>
        </x:is>
      </x:c>
      <x:c r="K4" s="4" t="inlineStr">
        <x:is>
          <x:t xml:space="preserve">Notes</x:t>
        </x:is>
      </x:c>
    </x:row>
    <x:row r="5" ht="20" customHeight="1">
      <x:c r="A5" s="5" t="inlineStr">
        <x:is>
          <x:t xml:space="preserve">Sales</x:t>
        </x:is>
      </x:c>
      <x:c r="B5" s="5" t="inlineStr">
        <x:is>
          <x:t xml:space="preserve">CTRL-SAL-01</x:t>
        </x:is>
      </x:c>
      <x:c r="C5" s="5" t="inlineStr">
        <x:is>
          <x:t xml:space="preserve">Sales invoices approved before dispatch</x:t>
        </x:is>
      </x:c>
      <x:c r="D5" s="5" t="inlineStr">
        <x:is>
          <x:t xml:space="preserve">Daily</x:t>
        </x:is>
      </x:c>
      <x:c r="E5" s="5" t="inlineStr">
        <x:is>
          <x:t xml:space="preserve">Sales Manager</x:t>
        </x:is>
      </x:c>
      <x:c r="F5" s="5" t="inlineStr">
        <x:is>
          <x:t xml:space="preserve">ToC</x:t>
        </x:is>
      </x:c>
      <x:c r="G5" s="5" t="inlineStr">
        <x:is>
          <x:t xml:space="preserve">ERP Sales Register</x:t>
        </x:is>
      </x:c>
      <x:c r="H5" s="5" t="inlineStr">
        <x:is>
          <x:t xml:space="preserve">Yes</x:t>
        </x:is>
      </x:c>
      <x:c r="I5" s="5" t="inlineStr">
        <x:is>
          <x:t xml:space="preserve">Pass</x:t>
        </x:is>
      </x:c>
      <x:c r="J5" s="5" t="inlineStr">
        <x:is>
          <x:t xml:space="preserve">N/A</x:t>
        </x:is>
      </x:c>
      <x:c r="K5" s="5" t="inlineStr">
        <x:is>
          <x:t xml:space="preserve"/>
        </x:is>
      </x:c>
    </x:row>
    <x:row r="6" ht="20" customHeight="1">
      <x:c r="A6" s="5" t="inlineStr">
        <x:is>
          <x:t xml:space="preserve">Purchases</x:t>
        </x:is>
      </x:c>
      <x:c r="B6" s="5" t="inlineStr">
        <x:is>
          <x:t xml:space="preserve">CTRL-PUR-01</x:t>
        </x:is>
      </x:c>
      <x:c r="C6" s="5" t="inlineStr">
        <x:is>
          <x:t xml:space="preserve">Purchase orders approved before vendor order</x:t>
        </x:is>
      </x:c>
      <x:c r="D6" s="5" t="inlineStr">
        <x:is>
          <x:t xml:space="preserve">Per Transaction</x:t>
        </x:is>
      </x:c>
      <x:c r="E6" s="5" t="inlineStr">
        <x:is>
          <x:t xml:space="preserve">Procurement Manager</x:t>
        </x:is>
      </x:c>
      <x:c r="F6" s="5" t="inlineStr">
        <x:is>
          <x:t xml:space="preserve">ToC</x:t>
        </x:is>
      </x:c>
      <x:c r="G6" s="5" t="inlineStr">
        <x:is>
          <x:t xml:space="preserve">ERP Purchase Register</x:t>
        </x:is>
      </x:c>
      <x:c r="H6" s="5" t="inlineStr">
        <x:is>
          <x:t xml:space="preserve">Yes</x:t>
        </x:is>
      </x:c>
      <x:c r="I6" s="5" t="inlineStr">
        <x:is>
          <x:t xml:space="preserve">Pass</x:t>
        </x:is>
      </x:c>
      <x:c r="J6" s="5" t="inlineStr">
        <x:is>
          <x:t xml:space="preserve">N/A</x:t>
        </x:is>
      </x:c>
      <x:c r="K6" s="5" t="inlineStr">
        <x:is>
          <x:t xml:space="preserve"/>
        </x:is>
      </x:c>
    </x:row>
    <x:row r="7" ht="20" customHeight="1">
      <x:c r="A7" s="5" t="inlineStr">
        <x:is>
          <x:t xml:space="preserve">Payroll</x:t>
        </x:is>
      </x:c>
      <x:c r="B7" s="5" t="inlineStr">
        <x:is>
          <x:t xml:space="preserve">CTRL-PAY-01</x:t>
        </x:is>
      </x:c>
      <x:c r="C7" s="5" t="inlineStr">
        <x:is>
          <x:t xml:space="preserve">Payroll reviewed and approved monthly</x:t>
        </x:is>
      </x:c>
      <x:c r="D7" s="5" t="inlineStr">
        <x:is>
          <x:t xml:space="preserve">Monthly</x:t>
        </x:is>
      </x:c>
      <x:c r="E7" s="5" t="inlineStr">
        <x:is>
          <x:t xml:space="preserve">HR Manager</x:t>
        </x:is>
      </x:c>
      <x:c r="F7" s="5" t="inlineStr">
        <x:is>
          <x:t xml:space="preserve">ToC</x:t>
        </x:is>
      </x:c>
      <x:c r="G7" s="5" t="inlineStr">
        <x:is>
          <x:t xml:space="preserve">Payroll Register</x:t>
        </x:is>
      </x:c>
      <x:c r="H7" s="5" t="inlineStr">
        <x:is>
          <x:t xml:space="preserve">Yes</x:t>
        </x:is>
      </x:c>
      <x:c r="I7" s="5" t="inlineStr">
        <x:is>
          <x:t xml:space="preserve">Pass</x:t>
        </x:is>
      </x:c>
      <x:c r="J7" s="5" t="inlineStr">
        <x:is>
          <x:t xml:space="preserve">N/A</x:t>
        </x:is>
      </x:c>
      <x:c r="K7" s="5" t="inlineStr">
        <x:is>
          <x:t xml:space="preserve"/>
        </x:is>
      </x:c>
    </x:row>
    <x:row r="8" ht="20" customHeight="1">
      <x:c r="A8" s="5" t="inlineStr">
        <x:is>
          <x:t xml:space="preserve">Banking</x:t>
        </x:is>
      </x:c>
      <x:c r="B8" s="5" t="inlineStr">
        <x:is>
          <x:t xml:space="preserve">CTRL-BNK-01</x:t>
        </x:is>
      </x:c>
      <x:c r="C8" s="5" t="inlineStr">
        <x:is>
          <x:t xml:space="preserve">Monthly bank reconciliation prepared and reviewed</x:t>
        </x:is>
      </x:c>
      <x:c r="D8" s="5" t="inlineStr">
        <x:is>
          <x:t xml:space="preserve">Monthly</x:t>
        </x:is>
      </x:c>
      <x:c r="E8" s="5" t="inlineStr">
        <x:is>
          <x:t xml:space="preserve">Finance Manager</x:t>
        </x:is>
      </x:c>
      <x:c r="F8" s="5" t="inlineStr">
        <x:is>
          <x:t xml:space="preserve">ToC</x:t>
        </x:is>
      </x:c>
      <x:c r="G8" s="5" t="inlineStr">
        <x:is>
          <x:t xml:space="preserve">Bank Reconciliation Files</x:t>
        </x:is>
      </x:c>
      <x:c r="H8" s="5" t="inlineStr">
        <x:is>
          <x:t xml:space="preserve">Yes</x:t>
        </x:is>
      </x:c>
      <x:c r="I8" s="5" t="inlineStr">
        <x:is>
          <x:t xml:space="preserve">Pass</x:t>
        </x:is>
      </x:c>
      <x:c r="J8" s="5" t="inlineStr">
        <x:is>
          <x:t xml:space="preserve">N/A</x:t>
        </x:is>
      </x:c>
      <x:c r="K8" s="5" t="inlineStr">
        <x:is>
          <x:t xml:space="preserve"/>
        </x:is>
      </x:c>
    </x:row>
  </x:sheetData>
  <x:mergeCells>
    <x:mergeCell ref="A2:K2"/>
    <x:mergeCell ref="A1:K1"/>
  </x:mergeCells>
  <x:dataValidations count="5">
    <x:dataValidation type="list" allowBlank="1" showDropDown="0" showInputMessage="0" showErrorMessage="0" sqref="D5:D308">
      <x:formula1>=Lists_Ref!$A$181:$A$187</x:formula1>
    </x:dataValidation>
    <x:dataValidation type="list" allowBlank="1" showDropDown="0" showInputMessage="0" showErrorMessage="0" sqref="F5:F308">
      <x:formula1>=Lists_Ref!$A$190:$A$196</x:formula1>
    </x:dataValidation>
    <x:dataValidation type="list" allowBlank="1" showDropDown="0" showInputMessage="0" showErrorMessage="0" sqref="H5:H308">
      <x:formula1>=Lists_Ref!$A$96:$A$97</x:formula1>
    </x:dataValidation>
    <x:dataValidation type="list" allowBlank="1" showDropDown="0" showInputMessage="0" showErrorMessage="0" sqref="I5:I308">
      <x:formula1>=Lists_Ref!$A$207:$A$210</x:formula1>
    </x:dataValidation>
    <x:dataValidation type="list" allowBlank="1" showDropDown="0" showInputMessage="0" showErrorMessage="0" sqref="J5:J308">
      <x:formula1>=Lists_Ref!$A$207:$A$210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79b5fd74d848ef"/>
  </x:tableParts>
</x:worksheet>
</file>

<file path=xl/worksheets/sheet14.xml><?xml version="1.0" encoding="utf-8"?>
<x:worksheet xmlns:x="http://schemas.openxmlformats.org/spreadsheetml/2006/main">
  <x:sheetPr>
    <x:tabColor rgb="00C55A11"/>
  </x:sheetPr>
  <x:sheetViews>
    <x:sheetView showGridLines="0" workbookViewId="0"/>
  </x:sheetViews>
  <x:sheetFormatPr baseColWidth="8" defaultRowHeight="15"/>
  <x:cols>
    <x:col min="1" max="1" width="13" customWidth="1"/>
    <x:col min="2" max="2" width="15" customWidth="1"/>
    <x:col min="3" max="3" width="12" customWidth="1"/>
    <x:col min="4" max="4" width="22" customWidth="1"/>
    <x:col min="5" max="5" width="12" customWidth="1"/>
    <x:col min="6" max="6" width="22" customWidth="1"/>
    <x:col min="7" max="7" width="18" customWidth="1"/>
    <x:col min="8" max="8" width="15" customWidth="1"/>
    <x:col min="9" max="9" width="21" customWidth="1"/>
    <x:col min="10" max="10" width="28" customWidth="1"/>
    <x:col min="11" max="11" width="13" customWidth="1"/>
    <x:col min="12" max="12" width="13" customWidth="1"/>
  </x:cols>
  <x:sheetData>
    <x:row r="1" ht="24" customHeight="1">
      <x:c r="A1" s="1" t="inlineStr">
        <x:is>
          <x:t xml:space="preserve">Evidence_Log</x:t>
        </x:is>
      </x:c>
    </x:row>
    <x:row r="2" ht="36" customHeight="1">
      <x:c r="A2" s="2" t="inlineStr">
        <x:is>
          <x:t xml:space="preserve">Fields in blue are intended for user or backend inputs. Black text cells are formulas. Review orange-highlighted items before finalization.</x:t>
        </x:is>
      </x:c>
    </x:row>
    <x:row r="4" ht="30" customHeight="1">
      <x:c r="A4" s="4" t="inlineStr">
        <x:is>
          <x:t xml:space="preserve">Evidence_ID</x:t>
        </x:is>
      </x:c>
      <x:c r="B4" s="4" t="inlineStr">
        <x:is>
          <x:t xml:space="preserve">Engagement_ID</x:t>
        </x:is>
      </x:c>
      <x:c r="C4" s="4" t="inlineStr">
        <x:is>
          <x:t xml:space="preserve">WP_Code</x:t>
        </x:is>
      </x:c>
      <x:c r="D4" s="4" t="inlineStr">
        <x:is>
          <x:t xml:space="preserve">Document_Type</x:t>
        </x:is>
      </x:c>
      <x:c r="E4" s="4" t="inlineStr">
        <x:is>
          <x:t xml:space="preserve">Source</x:t>
        </x:is>
      </x:c>
      <x:c r="F4" s="4" t="inlineStr">
        <x:is>
          <x:t xml:space="preserve">Document_Reference</x:t>
        </x:is>
      </x:c>
      <x:c r="G4" s="4" t="inlineStr">
        <x:is>
          <x:t xml:space="preserve">Received_Date</x:t>
        </x:is>
      </x:c>
      <x:c r="H4" s="4" t="inlineStr">
        <x:is>
          <x:t xml:space="preserve">Verified_Flag</x:t>
        </x:is>
      </x:c>
      <x:c r="I4" s="4" t="inlineStr">
        <x:is>
          <x:t xml:space="preserve">Verification_Result</x:t>
        </x:is>
      </x:c>
      <x:c r="J4" s="4" t="inlineStr">
        <x:is>
          <x:t xml:space="preserve">Reviewer_Comment</x:t>
        </x:is>
      </x:c>
      <x:c r="K4" s="4" t="inlineStr">
        <x:is>
          <x:t xml:space="preserve">Prepared_By</x:t>
        </x:is>
      </x:c>
      <x:c r="L4" s="4" t="inlineStr">
        <x:is>
          <x:t xml:space="preserve">Reviewed_By</x:t>
        </x:is>
      </x:c>
    </x:row>
    <x:row r="5" ht="20" customHeight="1">
      <x:c r="A5" s="5" t="inlineStr">
        <x:is>
          <x:t xml:space="preserve">EVD-0001</x:t>
        </x:is>
      </x:c>
      <x:c r="B5" s="5" t="inlineStr">
        <x:is>
          <x:t xml:space="preserve">ENG-001</x:t>
        </x:is>
      </x:c>
      <x:c r="C5" s="5" t="inlineStr">
        <x:is>
          <x:t xml:space="preserve">AR-01</x:t>
        </x:is>
      </x:c>
      <x:c r="D5" s="5" t="inlineStr">
        <x:is>
          <x:t xml:space="preserve">Customer Statement</x:t>
        </x:is>
      </x:c>
      <x:c r="E5" s="5" t="inlineStr">
        <x:is>
          <x:t xml:space="preserve">Client</x:t>
        </x:is>
      </x:c>
      <x:c r="F5" s="5" t="inlineStr">
        <x:is>
          <x:t xml:space="preserve">/evidence/customer_statement_A.pdf</x:t>
        </x:is>
      </x:c>
      <x:c r="G5" s="23" t="n">
        <x:v>46116</x:v>
      </x:c>
      <x:c r="H5" s="5" t="inlineStr">
        <x:is>
          <x:t xml:space="preserve">Yes</x:t>
        </x:is>
      </x:c>
      <x:c r="I5" s="5" t="inlineStr">
        <x:is>
          <x:t xml:space="preserve">Pass</x:t>
        </x:is>
      </x:c>
      <x:c r="J5" s="5" t="inlineStr">
        <x:is>
          <x:t xml:space="preserve"/>
        </x:is>
      </x:c>
      <x:c r="K5" s="5" t="inlineStr">
        <x:is>
          <x:t xml:space="preserve">Associate 1</x:t>
        </x:is>
      </x:c>
      <x:c r="L5" s="5" t="inlineStr">
        <x:is>
          <x:t xml:space="preserve">Manager 1</x:t>
        </x:is>
      </x:c>
    </x:row>
    <x:row r="6" ht="20" customHeight="1">
      <x:c r="A6" s="5" t="inlineStr">
        <x:is>
          <x:t xml:space="preserve">EVD-0002</x:t>
        </x:is>
      </x:c>
      <x:c r="B6" s="5" t="inlineStr">
        <x:is>
          <x:t xml:space="preserve">ENG-001</x:t>
        </x:is>
      </x:c>
      <x:c r="C6" s="5" t="inlineStr">
        <x:is>
          <x:t xml:space="preserve">BANK-01</x:t>
        </x:is>
      </x:c>
      <x:c r="D6" s="5" t="inlineStr">
        <x:is>
          <x:t xml:space="preserve">Bank Statement</x:t>
        </x:is>
      </x:c>
      <x:c r="E6" s="5" t="inlineStr">
        <x:is>
          <x:t xml:space="preserve">External</x:t>
        </x:is>
      </x:c>
      <x:c r="F6" s="5" t="inlineStr">
        <x:is>
          <x:t xml:space="preserve">/evidence/bank_statement_june_2025.pdf</x:t>
        </x:is>
      </x:c>
      <x:c r="G6" s="23" t="n">
        <x:v>46116</x:v>
      </x:c>
      <x:c r="H6" s="5" t="inlineStr">
        <x:is>
          <x:t xml:space="preserve">Yes</x:t>
        </x:is>
      </x:c>
      <x:c r="I6" s="5" t="inlineStr">
        <x:is>
          <x:t xml:space="preserve">Pass</x:t>
        </x:is>
      </x:c>
      <x:c r="J6" s="5" t="inlineStr">
        <x:is>
          <x:t xml:space="preserve"/>
        </x:is>
      </x:c>
      <x:c r="K6" s="5" t="inlineStr">
        <x:is>
          <x:t xml:space="preserve">Associate 1</x:t>
        </x:is>
      </x:c>
      <x:c r="L6" s="5" t="inlineStr">
        <x:is>
          <x:t xml:space="preserve">Manager 1</x:t>
        </x:is>
      </x:c>
    </x:row>
  </x:sheetData>
  <x:mergeCells>
    <x:mergeCell ref="A2:L2"/>
    <x:mergeCell ref="A1:L1"/>
  </x:mergeCells>
  <x:dataValidations count="2">
    <x:dataValidation type="list" allowBlank="1" showDropDown="0" showInputMessage="0" showErrorMessage="0" sqref="H5:H306">
      <x:formula1>=Lists_Ref!$A$96:$A$97</x:formula1>
    </x:dataValidation>
    <x:dataValidation type="list" allowBlank="1" showDropDown="0" showInputMessage="0" showErrorMessage="0" sqref="I5:I306">
      <x:formula1>=Lists_Ref!$A$207:$A$210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41d65a98e54598"/>
  </x:tableParts>
</x:worksheet>
</file>

<file path=xl/worksheets/sheet15.xml><?xml version="1.0" encoding="utf-8"?>
<x:worksheet xmlns:x="http://schemas.openxmlformats.org/spreadsheetml/2006/main">
  <x:sheetPr>
    <x:tabColor rgb="007030A0"/>
  </x:sheetPr>
  <x:sheetViews>
    <x:sheetView showGridLines="0" workbookViewId="0"/>
  </x:sheetViews>
  <x:sheetFormatPr baseColWidth="8" defaultRowHeight="15"/>
  <x:cols>
    <x:col min="1" max="1" width="12" customWidth="1"/>
    <x:col min="2" max="2" width="22" customWidth="1"/>
    <x:col min="3" max="3" width="12" customWidth="1"/>
    <x:col min="4" max="4" width="15" customWidth="1"/>
    <x:col min="5" max="5" width="28" customWidth="1"/>
    <x:col min="6" max="6" width="12" customWidth="1"/>
    <x:col min="7" max="7" width="13" customWidth="1"/>
    <x:col min="8" max="8" width="13" customWidth="1"/>
    <x:col min="9" max="9" width="12" customWidth="1"/>
    <x:col min="10" max="10" width="16" customWidth="1"/>
  </x:cols>
  <x:sheetData>
    <x:row r="1" ht="24" customHeight="1">
      <x:c r="A1" s="1" t="inlineStr">
        <x:is>
          <x:t xml:space="preserve">WP_Index</x:t>
        </x:is>
      </x:c>
    </x:row>
    <x:row r="2" ht="36" customHeight="1">
      <x:c r="A2" s="2" t="inlineStr">
        <x:is>
          <x:t xml:space="preserve">Fields in blue are intended for user or backend inputs. Black text cells are formulas. Review orange-highlighted items before finalization.</x:t>
        </x:is>
      </x:c>
    </x:row>
    <x:row r="4" ht="30" customHeight="1">
      <x:c r="A4" s="4" t="inlineStr">
        <x:is>
          <x:t xml:space="preserve">WP_Code</x:t>
        </x:is>
      </x:c>
      <x:c r="B4" s="4" t="inlineStr">
        <x:is>
          <x:t xml:space="preserve">WP_Name</x:t>
        </x:is>
      </x:c>
      <x:c r="C4" s="4" t="inlineStr">
        <x:is>
          <x:t xml:space="preserve">Category</x:t>
        </x:is>
      </x:c>
      <x:c r="D4" s="4" t="inlineStr">
        <x:is>
          <x:t xml:space="preserve">Required_Flag</x:t>
        </x:is>
      </x:c>
      <x:c r="E4" s="4" t="inlineStr">
        <x:is>
          <x:t xml:space="preserve">Trigger_Source</x:t>
        </x:is>
      </x:c>
      <x:c r="F4" s="4" t="inlineStr">
        <x:is>
          <x:t xml:space="preserve">Status</x:t>
        </x:is>
      </x:c>
      <x:c r="G4" s="4" t="inlineStr">
        <x:is>
          <x:t xml:space="preserve">Prepared_By</x:t>
        </x:is>
      </x:c>
      <x:c r="H4" s="4" t="inlineStr">
        <x:is>
          <x:t xml:space="preserve">Reviewed_By</x:t>
        </x:is>
      </x:c>
      <x:c r="I4" s="4" t="inlineStr">
        <x:is>
          <x:t xml:space="preserve">Conclusion</x:t>
        </x:is>
      </x:c>
      <x:c r="J4" s="4" t="inlineStr">
        <x:is>
          <x:t xml:space="preserve">Evidence_Count</x:t>
        </x:is>
      </x:c>
    </x:row>
    <x:row r="5" ht="20" customHeight="1">
      <x:c r="A5" s="5" t="inlineStr">
        <x:is>
          <x:t xml:space="preserve">A1</x:t>
        </x:is>
      </x:c>
      <x:c r="B5" s="5" t="inlineStr">
        <x:is>
          <x:t xml:space="preserve">Engagement Letter</x:t>
        </x:is>
      </x:c>
      <x:c r="C5" s="5" t="inlineStr">
        <x:is>
          <x:t xml:space="preserve">Planning</x:t>
        </x:is>
      </x:c>
      <x:c r="D5" s="5" t="inlineStr">
        <x:is>
          <x:t xml:space="preserve">Yes</x:t>
        </x:is>
      </x:c>
      <x:c r="E5" s="5" t="inlineStr">
        <x:is>
          <x:t xml:space="preserve">WP_Trigger_Engine</x:t>
        </x:is>
      </x:c>
      <x:c r="F5" s="5" t="inlineStr">
        <x:is>
          <x:t xml:space="preserve">Prepared</x:t>
        </x:is>
      </x:c>
      <x:c r="G5" s="5" t="inlineStr">
        <x:is>
          <x:t xml:space="preserve">Associate 1</x:t>
        </x:is>
      </x:c>
      <x:c r="H5" s="5" t="inlineStr">
        <x:is>
          <x:t xml:space="preserve">Manager 1</x:t>
        </x:is>
      </x:c>
      <x:c r="I5" s="5" t="inlineStr">
        <x:is>
          <x:t xml:space="preserve">Signed engagement letter on file</x:t>
        </x:is>
      </x:c>
      <x:c r="J5" s="10" t="n">
        <x:v>1</x:v>
      </x:c>
    </x:row>
    <x:row r="6" ht="20" customHeight="1">
      <x:c r="A6" s="5" t="inlineStr">
        <x:is>
          <x:t xml:space="preserve">B1</x:t>
        </x:is>
      </x:c>
      <x:c r="B6" s="5" t="inlineStr">
        <x:is>
          <x:t xml:space="preserve">Understanding the Entity</x:t>
        </x:is>
      </x:c>
      <x:c r="C6" s="5" t="inlineStr">
        <x:is>
          <x:t xml:space="preserve">Planning</x:t>
        </x:is>
      </x:c>
      <x:c r="D6" s="5" t="inlineStr">
        <x:is>
          <x:t xml:space="preserve">Yes</x:t>
        </x:is>
      </x:c>
      <x:c r="E6" s="5" t="inlineStr">
        <x:is>
          <x:t xml:space="preserve">WP_Trigger_Engine</x:t>
        </x:is>
      </x:c>
      <x:c r="F6" s="5" t="inlineStr">
        <x:is>
          <x:t xml:space="preserve">In Progress</x:t>
        </x:is>
      </x:c>
      <x:c r="G6" s="5" t="inlineStr">
        <x:is>
          <x:t xml:space="preserve">Associate 1</x:t>
        </x:is>
      </x:c>
      <x:c r="H6" s="5" t="inlineStr">
        <x:is>
          <x:t xml:space="preserve"/>
        </x:is>
      </x:c>
      <x:c r="I6" s="5" t="inlineStr">
        <x:is>
          <x:t xml:space="preserve">Draft narrative prepared</x:t>
        </x:is>
      </x:c>
      <x:c r="J6" s="10" t="n">
        <x:v>0</x:v>
      </x:c>
    </x:row>
    <x:row r="7" ht="20" customHeight="1">
      <x:c r="A7" s="5" t="inlineStr">
        <x:is>
          <x:t xml:space="preserve">C2</x:t>
        </x:is>
      </x:c>
      <x:c r="B7" s="5" t="inlineStr">
        <x:is>
          <x:t xml:space="preserve">Analytical Review</x:t>
        </x:is>
      </x:c>
      <x:c r="C7" s="5" t="inlineStr">
        <x:is>
          <x:t xml:space="preserve">Fieldwork</x:t>
        </x:is>
      </x:c>
      <x:c r="D7" s="5" t="inlineStr">
        <x:is>
          <x:t xml:space="preserve">Yes</x:t>
        </x:is>
      </x:c>
      <x:c r="E7" s="5" t="inlineStr">
        <x:is>
          <x:t xml:space="preserve">WP_Trigger_Engine</x:t>
        </x:is>
      </x:c>
      <x:c r="F7" s="5" t="inlineStr">
        <x:is>
          <x:t xml:space="preserve">Not Started</x:t>
        </x:is>
      </x:c>
      <x:c r="G7" s="5" t="inlineStr">
        <x:is>
          <x:t xml:space="preserve"/>
        </x:is>
      </x:c>
      <x:c r="H7" s="5" t="inlineStr">
        <x:is>
          <x:t xml:space="preserve"/>
        </x:is>
      </x:c>
      <x:c r="I7" s="5" t="inlineStr">
        <x:is>
          <x:t xml:space="preserve"/>
        </x:is>
      </x:c>
      <x:c r="J7" s="10" t="n">
        <x:v>0</x:v>
      </x:c>
    </x:row>
    <x:row r="8" ht="20" customHeight="1">
      <x:c r="A8" s="5" t="inlineStr">
        <x:is>
          <x:t xml:space="preserve">D5</x:t>
        </x:is>
      </x:c>
      <x:c r="B8" s="5" t="inlineStr">
        <x:is>
          <x:t xml:space="preserve">Related Party Testing</x:t>
        </x:is>
      </x:c>
      <x:c r="C8" s="5" t="inlineStr">
        <x:is>
          <x:t xml:space="preserve">Fieldwork</x:t>
        </x:is>
      </x:c>
      <x:c r="D8" s="5" t="inlineStr">
        <x:is>
          <x:t xml:space="preserve">Yes</x:t>
        </x:is>
      </x:c>
      <x:c r="E8" s="5" t="inlineStr">
        <x:is>
          <x:t xml:space="preserve">WP_Trigger_Engine</x:t>
        </x:is>
      </x:c>
      <x:c r="F8" s="5" t="inlineStr">
        <x:is>
          <x:t xml:space="preserve">Not Started</x:t>
        </x:is>
      </x:c>
      <x:c r="G8" s="5" t="inlineStr">
        <x:is>
          <x:t xml:space="preserve"/>
        </x:is>
      </x:c>
      <x:c r="H8" s="5" t="inlineStr">
        <x:is>
          <x:t xml:space="preserve"/>
        </x:is>
      </x:c>
      <x:c r="I8" s="5" t="inlineStr">
        <x:is>
          <x:t xml:space="preserve"/>
        </x:is>
      </x:c>
      <x:c r="J8" s="10" t="n">
        <x:v>0</x:v>
      </x:c>
    </x:row>
    <x:row r="9" ht="20" customHeight="1">
      <x:c r="A9" s="5" t="inlineStr">
        <x:is>
          <x:t xml:space="preserve">E1</x:t>
        </x:is>
      </x:c>
      <x:c r="B9" s="5" t="inlineStr">
        <x:is>
          <x:t xml:space="preserve">Going Concern Review</x:t>
        </x:is>
      </x:c>
      <x:c r="C9" s="5" t="inlineStr">
        <x:is>
          <x:t xml:space="preserve">Completion</x:t>
        </x:is>
      </x:c>
      <x:c r="D9" s="5" t="inlineStr">
        <x:is>
          <x:t xml:space="preserve">Yes</x:t>
        </x:is>
      </x:c>
      <x:c r="E9" s="5" t="inlineStr">
        <x:is>
          <x:t xml:space="preserve">WP_Trigger_Engine</x:t>
        </x:is>
      </x:c>
      <x:c r="F9" s="5" t="inlineStr">
        <x:is>
          <x:t xml:space="preserve">Not Started</x:t>
        </x:is>
      </x:c>
      <x:c r="G9" s="5" t="inlineStr">
        <x:is>
          <x:t xml:space="preserve"/>
        </x:is>
      </x:c>
      <x:c r="H9" s="5" t="inlineStr">
        <x:is>
          <x:t xml:space="preserve"/>
        </x:is>
      </x:c>
      <x:c r="I9" s="5" t="inlineStr">
        <x:is>
          <x:t xml:space="preserve"/>
        </x:is>
      </x:c>
      <x:c r="J9" s="10" t="n">
        <x:v>0</x:v>
      </x:c>
    </x:row>
  </x:sheetData>
  <x:mergeCells>
    <x:mergeCell ref="A1:J1"/>
    <x:mergeCell ref="A2:J2"/>
  </x:mergeCells>
  <x:conditionalFormatting sqref="F5:F59">
    <x:cfRule type="expression" dxfId="0" priority="1">
      <x:formula>$F5="CHECK"</x:formula>
    </x:cfRule>
  </x:conditionalFormatting>
  <x:dataValidations count="2">
    <x:dataValidation type="list" allowBlank="1" showDropDown="0" showInputMessage="0" showErrorMessage="0" sqref="D5:D309">
      <x:formula1>=Lists_Ref!$A$96:$A$97</x:formula1>
    </x:dataValidation>
    <x:dataValidation type="list" allowBlank="1" showDropDown="0" showInputMessage="0" showErrorMessage="0" sqref="F5:F309">
      <x:formula1>=Lists_Ref!$A$199:$A$204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3c3b5bf05c4635"/>
  </x:tableParts>
</x:worksheet>
</file>

<file path=xl/worksheets/sheet16.xml><?xml version="1.0" encoding="utf-8"?>
<x:worksheet xmlns:x="http://schemas.openxmlformats.org/spreadsheetml/2006/main">
  <x:sheetPr>
    <x:tabColor rgb="00A5A5A5"/>
  </x:sheetPr>
  <x:sheetViews>
    <x:sheetView showGridLines="0" workbookViewId="0"/>
  </x:sheetViews>
  <x:sheetFormatPr baseColWidth="8" defaultRowHeight="15"/>
  <x:cols>
    <x:col min="1" max="1" width="12" customWidth="1"/>
    <x:col min="2" max="2" width="15" customWidth="1"/>
    <x:col min="3" max="3" width="12" customWidth="1"/>
    <x:col min="4" max="4" width="16" customWidth="1"/>
    <x:col min="5" max="5" width="15" customWidth="1"/>
    <x:col min="6" max="6" width="18" customWidth="1"/>
    <x:col min="7" max="7" width="15" customWidth="1"/>
    <x:col min="8" max="8" width="17" customWidth="1"/>
    <x:col min="9" max="9" width="28" customWidth="1"/>
    <x:col min="10" max="10" width="15" customWidth="1"/>
  </x:cols>
  <x:sheetData>
    <x:row r="1" ht="24" customHeight="1">
      <x:c r="A1" s="1" t="inlineStr">
        <x:is>
          <x:t xml:space="preserve">Review_Signoff</x:t>
        </x:is>
      </x:c>
    </x:row>
    <x:row r="2" ht="36" customHeight="1">
      <x:c r="A2" s="2" t="inlineStr">
        <x:is>
          <x:t xml:space="preserve">Fields in blue are intended for user or backend inputs. Black text cells are formulas. Review orange-highlighted items before finalization.</x:t>
        </x:is>
      </x:c>
    </x:row>
    <x:row r="4" ht="30" customHeight="1">
      <x:c r="A4" s="4" t="inlineStr">
        <x:is>
          <x:t xml:space="preserve">Log_ID</x:t>
        </x:is>
      </x:c>
      <x:c r="B4" s="4" t="inlineStr">
        <x:is>
          <x:t xml:space="preserve">Engagement_ID</x:t>
        </x:is>
      </x:c>
      <x:c r="C4" s="4" t="inlineStr">
        <x:is>
          <x:t xml:space="preserve">Stage</x:t>
        </x:is>
      </x:c>
      <x:c r="D4" s="4" t="inlineStr">
        <x:is>
          <x:t xml:space="preserve">Reviewer_Level</x:t>
        </x:is>
      </x:c>
      <x:c r="E4" s="4" t="inlineStr">
        <x:is>
          <x:t xml:space="preserve">Reviewed_Item</x:t>
        </x:is>
      </x:c>
      <x:c r="F4" s="4" t="inlineStr">
        <x:is>
          <x:t xml:space="preserve">Review_Date</x:t>
        </x:is>
      </x:c>
      <x:c r="G4" s="4" t="inlineStr">
        <x:is>
          <x:t xml:space="preserve">Review_Result</x:t>
        </x:is>
      </x:c>
      <x:c r="H4" s="4" t="inlineStr">
        <x:is>
          <x:t xml:space="preserve">Open_Exceptions</x:t>
        </x:is>
      </x:c>
      <x:c r="I4" s="4" t="inlineStr">
        <x:is>
          <x:t xml:space="preserve">Reviewer_Comment</x:t>
        </x:is>
      </x:c>
      <x:c r="J4" s="4" t="inlineStr">
        <x:is>
          <x:t xml:space="preserve">Signed_Off_By</x:t>
        </x:is>
      </x:c>
    </x:row>
    <x:row r="5" ht="20" customHeight="1">
      <x:c r="A5" s="5" t="inlineStr">
        <x:is>
          <x:t xml:space="preserve">SGN-0001</x:t>
        </x:is>
      </x:c>
      <x:c r="B5" s="5" t="inlineStr">
        <x:is>
          <x:t xml:space="preserve">ENG-001</x:t>
        </x:is>
      </x:c>
      <x:c r="C5" s="5" t="inlineStr">
        <x:is>
          <x:t xml:space="preserve">Planning</x:t>
        </x:is>
      </x:c>
      <x:c r="D5" s="5" t="inlineStr">
        <x:is>
          <x:t xml:space="preserve">Manager</x:t>
        </x:is>
      </x:c>
      <x:c r="E5" s="5" t="inlineStr">
        <x:is>
          <x:t xml:space="preserve">Entity profile and planning setup</x:t>
        </x:is>
      </x:c>
      <x:c r="F5" s="23" t="n">
        <x:v>46116</x:v>
      </x:c>
      <x:c r="G5" s="5" t="inlineStr">
        <x:is>
          <x:t xml:space="preserve">Pass</x:t>
        </x:is>
      </x:c>
      <x:c r="H5" s="10" t="n">
        <x:v>0</x:v>
      </x:c>
      <x:c r="I5" s="5" t="inlineStr">
        <x:is>
          <x:t xml:space="preserve">Planning file setup complete</x:t>
        </x:is>
      </x:c>
      <x:c r="J5" s="5" t="inlineStr">
        <x:is>
          <x:t xml:space="preserve">Manager 1</x:t>
        </x:is>
      </x:c>
    </x:row>
  </x:sheetData>
  <x:mergeCells>
    <x:mergeCell ref="A1:J1"/>
    <x:mergeCell ref="A2:J2"/>
  </x:mergeCells>
  <x:dataValidations count="1">
    <x:dataValidation type="list" allowBlank="1" showDropDown="0" showInputMessage="0" showErrorMessage="0" sqref="G5:G305">
      <x:formula1>=Lists_Ref!$A$207:$A$210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cbfafe689b4e4b"/>
  </x:tableParts>
</x:worksheet>
</file>

<file path=xl/worksheets/sheet17.xml><?xml version="1.0" encoding="utf-8"?>
<x:worksheet xmlns:x="http://schemas.openxmlformats.org/spreadsheetml/2006/main">
  <x:sheetPr>
    <x:tabColor rgb="0000B0F0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18" customWidth="1"/>
    <x:col min="4" max="4" width="16" customWidth="1"/>
    <x:col min="5" max="5" width="14" customWidth="1"/>
    <x:col min="6" max="6" width="15" customWidth="1"/>
    <x:col min="7" max="7" width="15" customWidth="1"/>
    <x:col min="8" max="8" width="15" customWidth="1"/>
    <x:col min="9" max="9" width="15" customWidth="1"/>
    <x:col min="10" max="10" width="15" customWidth="1"/>
    <x:col min="11" max="11" width="15" customWidth="1"/>
    <x:col min="12" max="12" width="15" customWidth="1"/>
    <x:col min="13" max="13" width="15" customWidth="1"/>
    <x:col min="14" max="14" width="14" customWidth="1"/>
  </x:cols>
  <x:sheetData>
    <x:row r="1" ht="24" customHeight="1">
      <x:c r="A1" s="1" t="inlineStr">
        <x:is>
          <x:t xml:space="preserve">TB_Generated</x:t>
        </x:is>
      </x:c>
    </x:row>
    <x:row r="2" ht="36" customHeight="1">
      <x:c r="A2" s="2" t="inlineStr">
        <x:is>
          <x:t xml:space="preserve">Formula-driven trial balance view. Mirrors COA_Master rows and aggregates Journal_Import (base currency).</x:t>
        </x:is>
      </x:c>
    </x:row>
    <x:row r="3">
      <x:c r="A3" s="8" t="inlineStr">
        <x:is>
          <x:t xml:space="preserve">Control Note</x:t>
        </x:is>
      </x:c>
      <x:c r="B3" s="13" t="inlineStr">
        <x:is>
          <x:t xml:space="preserve">Populate / import source data first, then review formula-driven sheets and clear all CHECK / Yes exceptions before finalization.</x:t>
        </x:is>
      </x:c>
    </x:row>
    <x:row r="4" ht="20" customHeight="1">
      <x:c r="A4" s="8" t="inlineStr">
        <x:is>
          <x:t xml:space="preserve">Total Closing Credit</x:t>
        </x:is>
      </x:c>
      <x:c r="B4" s="14">
        <x:f>SUM(K6:K125)</x:f>
        <x:v>7910000</x:v>
      </x:c>
    </x:row>
    <x:row r="5" ht="30" customHeight="1">
      <x:c r="A5" s="4" t="inlineStr">
        <x:is>
          <x:t xml:space="preserve">Account_Code</x:t>
        </x:is>
      </x:c>
      <x:c r="B5" s="15" t="inlineStr">
        <x:is>
          <x:t xml:space="preserve">Account_Name</x:t>
        </x:is>
      </x:c>
      <x:c r="C5" s="4" t="inlineStr">
        <x:is>
          <x:t xml:space="preserve">FS_Head</x:t>
        </x:is>
      </x:c>
      <x:c r="D5" s="4" t="inlineStr">
        <x:is>
          <x:t xml:space="preserve">Account_Type</x:t>
        </x:is>
      </x:c>
      <x:c r="E5" s="4" t="inlineStr">
        <x:is>
          <x:t xml:space="preserve">Normal_Balance</x:t>
        </x:is>
      </x:c>
      <x:c r="F5" s="4" t="inlineStr">
        <x:is>
          <x:t xml:space="preserve">Opening_Balance</x:t>
        </x:is>
      </x:c>
      <x:c r="G5" s="4" t="inlineStr">
        <x:is>
          <x:t xml:space="preserve">Journal_Debit</x:t>
        </x:is>
      </x:c>
      <x:c r="H5" s="4" t="inlineStr">
        <x:is>
          <x:t xml:space="preserve">Journal_Credit</x:t>
        </x:is>
      </x:c>
      <x:c r="I5" s="4" t="inlineStr">
        <x:is>
          <x:t xml:space="preserve">Closing_Balance</x:t>
        </x:is>
      </x:c>
      <x:c r="J5" s="4" t="inlineStr">
        <x:is>
          <x:t xml:space="preserve">Closing_Debit</x:t>
        </x:is>
      </x:c>
      <x:c r="K5" s="4" t="inlineStr">
        <x:is>
          <x:t xml:space="preserve">Closing_Credit</x:t>
        </x:is>
      </x:c>
      <x:c r="L5" s="4" t="inlineStr">
        <x:is>
          <x:t xml:space="preserve">Prior_Year_Balance</x:t>
        </x:is>
      </x:c>
      <x:c r="M5" s="4" t="inlineStr">
        <x:is>
          <x:t xml:space="preserve">Variance</x:t>
        </x:is>
      </x:c>
      <x:c r="N5" s="4" t="inlineStr">
        <x:is>
          <x:t xml:space="preserve">Balance_Check</x:t>
        </x:is>
      </x:c>
    </x:row>
    <x:row r="6" ht="20" customHeight="1">
      <x:c r="A6" s="16" t="str">
        <x:f>IF(COA_Master!A5="","",COA_Master!A5)</x:f>
        <x:v>110101</x:v>
      </x:c>
      <x:c r="B6" s="17" t="str">
        <x:f>IF(A6="","",COA_Master!C5)</x:f>
        <x:v>Land</x:v>
      </x:c>
      <x:c r="C6" s="18" t="str">
        <x:f>IF(A6="","",COA_Master!D5)</x:f>
        <x:v>Non-Current Assets</x:v>
      </x:c>
      <x:c r="D6" s="18" t="str">
        <x:f>IF(A6="","",COA_Master!F5)</x:f>
        <x:v>Asset</x:v>
      </x:c>
      <x:c r="E6" s="18" t="str">
        <x:f>IF(A6="","",COA_Master!G5)</x:f>
        <x:v>Debit</x:v>
      </x:c>
      <x:c r="F6" s="12">
        <x:f>IF(A6="","",COA_Master!N5)</x:f>
        <x:v>0</x:v>
      </x:c>
      <x:c r="G6" s="12">
        <x:f>IF(A6="","",COA_Master!O5)</x:f>
        <x:v>0</x:v>
      </x:c>
      <x:c r="H6" s="12">
        <x:f>IF(A6="","",COA_Master!P5)</x:f>
        <x:v>0</x:v>
      </x:c>
      <x:c r="I6" s="12">
        <x:f>IF(A6="","",IF(E6="Debit",F6+G6-H6,F6-G6+H6))</x:f>
        <x:v>0</x:v>
      </x:c>
      <x:c r="J6" s="12">
        <x:f>IF(A6="","",IF(E6="Debit",MAX(0,I6),0))</x:f>
        <x:v>0</x:v>
      </x:c>
      <x:c r="K6" s="12">
        <x:f>IF(A6="","",IF(E6="Credit",MAX(0,I6),0))</x:f>
        <x:v>0</x:v>
      </x:c>
      <x:c r="L6" s="12">
        <x:f>IF(A6="","",COA_Master!R5)</x:f>
        <x:v>0</x:v>
      </x:c>
      <x:c r="M6" s="12">
        <x:f>IF(A6="","",I6-L6)</x:f>
        <x:v>0</x:v>
      </x:c>
      <x:c r="N6" s="19" t="str">
        <x:f>IF(A6="","",IF(ABS(I6-COA_Master!Q5)&lt;=0.01,"OK","CHECK"))</x:f>
        <x:v>OK</x:v>
      </x:c>
    </x:row>
    <x:row r="7" ht="20" customHeight="1">
      <x:c r="A7" s="18" t="str">
        <x:f>IF(COA_Master!A6="","",COA_Master!A6)</x:f>
        <x:v>110201</x:v>
      </x:c>
      <x:c r="B7" s="18" t="str">
        <x:f>IF(A7="","",COA_Master!C6)</x:f>
        <x:v>Building</x:v>
      </x:c>
      <x:c r="C7" s="18" t="str">
        <x:f>IF(A7="","",COA_Master!D6)</x:f>
        <x:v>Non-Current Assets</x:v>
      </x:c>
      <x:c r="D7" s="18" t="str">
        <x:f>IF(A7="","",COA_Master!F6)</x:f>
        <x:v>Asset</x:v>
      </x:c>
      <x:c r="E7" s="18" t="str">
        <x:f>IF(A7="","",COA_Master!G6)</x:f>
        <x:v>Debit</x:v>
      </x:c>
      <x:c r="F7" s="12">
        <x:f>IF(A7="","",COA_Master!N6)</x:f>
        <x:v>0</x:v>
      </x:c>
      <x:c r="G7" s="12">
        <x:f>IF(A7="","",COA_Master!O6)</x:f>
        <x:v>0</x:v>
      </x:c>
      <x:c r="H7" s="12">
        <x:f>IF(A7="","",COA_Master!P6)</x:f>
        <x:v>0</x:v>
      </x:c>
      <x:c r="I7" s="12">
        <x:f>IF(A7="","",IF(E7="Debit",F7+G7-H7,F7-G7+H7))</x:f>
        <x:v>0</x:v>
      </x:c>
      <x:c r="J7" s="12">
        <x:f>IF(A7="","",IF(E7="Debit",MAX(0,I7),0))</x:f>
        <x:v>0</x:v>
      </x:c>
      <x:c r="K7" s="12">
        <x:f>IF(A7="","",IF(E7="Credit",MAX(0,I7),0))</x:f>
        <x:v>0</x:v>
      </x:c>
      <x:c r="L7" s="12">
        <x:f>IF(A7="","",COA_Master!R6)</x:f>
        <x:v>0</x:v>
      </x:c>
      <x:c r="M7" s="12">
        <x:f>IF(A7="","",I7-L7)</x:f>
        <x:v>0</x:v>
      </x:c>
      <x:c r="N7" s="19" t="str">
        <x:f>IF(A7="","",IF(ABS(I7-COA_Master!Q6)&lt;=0.01,"OK","CHECK"))</x:f>
        <x:v>OK</x:v>
      </x:c>
    </x:row>
    <x:row r="8" ht="20" customHeight="1">
      <x:c r="A8" s="18" t="str">
        <x:f>IF(COA_Master!A7="","",COA_Master!A7)</x:f>
        <x:v>110301</x:v>
      </x:c>
      <x:c r="B8" s="18" t="str">
        <x:f>IF(A8="","",COA_Master!C7)</x:f>
        <x:v>Plant &amp; Machinery</x:v>
      </x:c>
      <x:c r="C8" s="18" t="str">
        <x:f>IF(A8="","",COA_Master!D7)</x:f>
        <x:v>Non-Current Assets</x:v>
      </x:c>
      <x:c r="D8" s="18" t="str">
        <x:f>IF(A8="","",COA_Master!F7)</x:f>
        <x:v>Asset</x:v>
      </x:c>
      <x:c r="E8" s="18" t="str">
        <x:f>IF(A8="","",COA_Master!G7)</x:f>
        <x:v>Debit</x:v>
      </x:c>
      <x:c r="F8" s="12">
        <x:f>IF(A8="","",COA_Master!N7)</x:f>
        <x:v>0</x:v>
      </x:c>
      <x:c r="G8" s="12">
        <x:f>IF(A8="","",COA_Master!O7)</x:f>
        <x:v>0</x:v>
      </x:c>
      <x:c r="H8" s="12">
        <x:f>IF(A8="","",COA_Master!P7)</x:f>
        <x:v>0</x:v>
      </x:c>
      <x:c r="I8" s="12">
        <x:f>IF(A8="","",IF(E8="Debit",F8+G8-H8,F8-G8+H8))</x:f>
        <x:v>0</x:v>
      </x:c>
      <x:c r="J8" s="12">
        <x:f>IF(A8="","",IF(E8="Debit",MAX(0,I8),0))</x:f>
        <x:v>0</x:v>
      </x:c>
      <x:c r="K8" s="12">
        <x:f>IF(A8="","",IF(E8="Credit",MAX(0,I8),0))</x:f>
        <x:v>0</x:v>
      </x:c>
      <x:c r="L8" s="12">
        <x:f>IF(A8="","",COA_Master!R7)</x:f>
        <x:v>0</x:v>
      </x:c>
      <x:c r="M8" s="12">
        <x:f>IF(A8="","",I8-L8)</x:f>
        <x:v>0</x:v>
      </x:c>
      <x:c r="N8" s="19" t="str">
        <x:f>IF(A8="","",IF(ABS(I8-COA_Master!Q7)&lt;=0.01,"OK","CHECK"))</x:f>
        <x:v>OK</x:v>
      </x:c>
    </x:row>
    <x:row r="9" ht="20" customHeight="1">
      <x:c r="A9" s="18" t="str">
        <x:f>IF(COA_Master!A8="","",COA_Master!A8)</x:f>
        <x:v>120201</x:v>
      </x:c>
      <x:c r="B9" s="18" t="str">
        <x:f>IF(A9="","",COA_Master!C8)</x:f>
        <x:v>Software</x:v>
      </x:c>
      <x:c r="C9" s="18" t="str">
        <x:f>IF(A9="","",COA_Master!D8)</x:f>
        <x:v>Non-Current Assets</x:v>
      </x:c>
      <x:c r="D9" s="18" t="str">
        <x:f>IF(A9="","",COA_Master!F8)</x:f>
        <x:v>Asset</x:v>
      </x:c>
      <x:c r="E9" s="18" t="str">
        <x:f>IF(A9="","",COA_Master!G8)</x:f>
        <x:v>Debit</x:v>
      </x:c>
      <x:c r="F9" s="12">
        <x:f>IF(A9="","",COA_Master!N8)</x:f>
        <x:v>0</x:v>
      </x:c>
      <x:c r="G9" s="12">
        <x:f>IF(A9="","",COA_Master!O8)</x:f>
        <x:v>0</x:v>
      </x:c>
      <x:c r="H9" s="12">
        <x:f>IF(A9="","",COA_Master!P8)</x:f>
        <x:v>0</x:v>
      </x:c>
      <x:c r="I9" s="12">
        <x:f>IF(A9="","",IF(E9="Debit",F9+G9-H9,F9-G9+H9))</x:f>
        <x:v>0</x:v>
      </x:c>
      <x:c r="J9" s="12">
        <x:f>IF(A9="","",IF(E9="Debit",MAX(0,I9),0))</x:f>
        <x:v>0</x:v>
      </x:c>
      <x:c r="K9" s="12">
        <x:f>IF(A9="","",IF(E9="Credit",MAX(0,I9),0))</x:f>
        <x:v>0</x:v>
      </x:c>
      <x:c r="L9" s="12">
        <x:f>IF(A9="","",COA_Master!R8)</x:f>
        <x:v>0</x:v>
      </x:c>
      <x:c r="M9" s="12">
        <x:f>IF(A9="","",I9-L9)</x:f>
        <x:v>0</x:v>
      </x:c>
      <x:c r="N9" s="19" t="str">
        <x:f>IF(A9="","",IF(ABS(I9-COA_Master!Q8)&lt;=0.01,"OK","CHECK"))</x:f>
        <x:v>OK</x:v>
      </x:c>
    </x:row>
    <x:row r="10" ht="20" customHeight="1">
      <x:c r="A10" s="18" t="str">
        <x:f>IF(COA_Master!A9="","",COA_Master!A9)</x:f>
        <x:v>140201</x:v>
      </x:c>
      <x:c r="B10" s="18" t="str">
        <x:f>IF(A10="","",COA_Master!C9)</x:f>
        <x:v>Security Deposits</x:v>
      </x:c>
      <x:c r="C10" s="18" t="str">
        <x:f>IF(A10="","",COA_Master!D9)</x:f>
        <x:v>Non-Current Assets</x:v>
      </x:c>
      <x:c r="D10" s="18" t="str">
        <x:f>IF(A10="","",COA_Master!F9)</x:f>
        <x:v>Asset</x:v>
      </x:c>
      <x:c r="E10" s="18" t="str">
        <x:f>IF(A10="","",COA_Master!G9)</x:f>
        <x:v>Debit</x:v>
      </x:c>
      <x:c r="F10" s="12">
        <x:f>IF(A10="","",COA_Master!N9)</x:f>
        <x:v>0</x:v>
      </x:c>
      <x:c r="G10" s="12">
        <x:f>IF(A10="","",COA_Master!O9)</x:f>
        <x:v>0</x:v>
      </x:c>
      <x:c r="H10" s="12">
        <x:f>IF(A10="","",COA_Master!P9)</x:f>
        <x:v>0</x:v>
      </x:c>
      <x:c r="I10" s="12">
        <x:f>IF(A10="","",IF(E10="Debit",F10+G10-H10,F10-G10+H10))</x:f>
        <x:v>0</x:v>
      </x:c>
      <x:c r="J10" s="12">
        <x:f>IF(A10="","",IF(E10="Debit",MAX(0,I10),0))</x:f>
        <x:v>0</x:v>
      </x:c>
      <x:c r="K10" s="12">
        <x:f>IF(A10="","",IF(E10="Credit",MAX(0,I10),0))</x:f>
        <x:v>0</x:v>
      </x:c>
      <x:c r="L10" s="12">
        <x:f>IF(A10="","",COA_Master!R9)</x:f>
        <x:v>0</x:v>
      </x:c>
      <x:c r="M10" s="12">
        <x:f>IF(A10="","",I10-L10)</x:f>
        <x:v>0</x:v>
      </x:c>
      <x:c r="N10" s="19" t="str">
        <x:f>IF(A10="","",IF(ABS(I10-COA_Master!Q9)&lt;=0.01,"OK","CHECK"))</x:f>
        <x:v>OK</x:v>
      </x:c>
    </x:row>
    <x:row r="11" ht="20" customHeight="1">
      <x:c r="A11" s="18" t="str">
        <x:f>IF(COA_Master!A10="","",COA_Master!A10)</x:f>
        <x:v>151101</x:v>
      </x:c>
      <x:c r="B11" s="18" t="str">
        <x:f>IF(A11="","",COA_Master!C10)</x:f>
        <x:v>Raw Material</x:v>
      </x:c>
      <x:c r="C11" s="18" t="str">
        <x:f>IF(A11="","",COA_Master!D10)</x:f>
        <x:v>Current Assets</x:v>
      </x:c>
      <x:c r="D11" s="18" t="str">
        <x:f>IF(A11="","",COA_Master!F10)</x:f>
        <x:v>Asset</x:v>
      </x:c>
      <x:c r="E11" s="18" t="str">
        <x:f>IF(A11="","",COA_Master!G10)</x:f>
        <x:v>Debit</x:v>
      </x:c>
      <x:c r="F11" s="12">
        <x:f>IF(A11="","",COA_Master!N10)</x:f>
        <x:v>2000000</x:v>
      </x:c>
      <x:c r="G11" s="12">
        <x:f>IF(A11="","",COA_Master!O10)</x:f>
        <x:v>400000</x:v>
      </x:c>
      <x:c r="H11" s="12">
        <x:f>IF(A11="","",COA_Master!P10)</x:f>
        <x:v>0</x:v>
      </x:c>
      <x:c r="I11" s="12">
        <x:f>IF(A11="","",IF(E11="Debit",F11+G11-H11,F11-G11+H11))</x:f>
        <x:v>2400000</x:v>
      </x:c>
      <x:c r="J11" s="12">
        <x:f>IF(A11="","",IF(E11="Debit",MAX(0,I11),0))</x:f>
        <x:v>2400000</x:v>
      </x:c>
      <x:c r="K11" s="12">
        <x:f>IF(A11="","",IF(E11="Credit",MAX(0,I11),0))</x:f>
        <x:v>0</x:v>
      </x:c>
      <x:c r="L11" s="12">
        <x:f>IF(A11="","",COA_Master!R10)</x:f>
        <x:v>1800000</x:v>
      </x:c>
      <x:c r="M11" s="12">
        <x:f>IF(A11="","",I11-L11)</x:f>
        <x:v>600000</x:v>
      </x:c>
      <x:c r="N11" s="19" t="str">
        <x:f>IF(A11="","",IF(ABS(I11-COA_Master!Q10)&lt;=0.01,"OK","CHECK"))</x:f>
        <x:v>OK</x:v>
      </x:c>
    </x:row>
    <x:row r="12" ht="20" customHeight="1">
      <x:c r="A12" s="18" t="str">
        <x:f>IF(COA_Master!A11="","",COA_Master!A11)</x:f>
        <x:v>151301</x:v>
      </x:c>
      <x:c r="B12" s="18" t="str">
        <x:f>IF(A12="","",COA_Master!C11)</x:f>
        <x:v>Finished Goods</x:v>
      </x:c>
      <x:c r="C12" s="18" t="str">
        <x:f>IF(A12="","",COA_Master!D11)</x:f>
        <x:v>Current Assets</x:v>
      </x:c>
      <x:c r="D12" s="18" t="str">
        <x:f>IF(A12="","",COA_Master!F11)</x:f>
        <x:v>Asset</x:v>
      </x:c>
      <x:c r="E12" s="18" t="str">
        <x:f>IF(A12="","",COA_Master!G11)</x:f>
        <x:v>Debit</x:v>
      </x:c>
      <x:c r="F12" s="12">
        <x:f>IF(A12="","",COA_Master!N11)</x:f>
        <x:v>1500000</x:v>
      </x:c>
      <x:c r="G12" s="12">
        <x:f>IF(A12="","",COA_Master!O11)</x:f>
        <x:v>0</x:v>
      </x:c>
      <x:c r="H12" s="12">
        <x:f>IF(A12="","",COA_Master!P11)</x:f>
        <x:v>0</x:v>
      </x:c>
      <x:c r="I12" s="12">
        <x:f>IF(A12="","",IF(E12="Debit",F12+G12-H12,F12-G12+H12))</x:f>
        <x:v>1500000</x:v>
      </x:c>
      <x:c r="J12" s="12">
        <x:f>IF(A12="","",IF(E12="Debit",MAX(0,I12),0))</x:f>
        <x:v>1500000</x:v>
      </x:c>
      <x:c r="K12" s="12">
        <x:f>IF(A12="","",IF(E12="Credit",MAX(0,I12),0))</x:f>
        <x:v>0</x:v>
      </x:c>
      <x:c r="L12" s="12">
        <x:f>IF(A12="","",COA_Master!R11)</x:f>
        <x:v>1200000</x:v>
      </x:c>
      <x:c r="M12" s="12">
        <x:f>IF(A12="","",I12-L12)</x:f>
        <x:v>300000</x:v>
      </x:c>
      <x:c r="N12" s="19" t="str">
        <x:f>IF(A12="","",IF(ABS(I12-COA_Master!Q11)&lt;=0.01,"OK","CHECK"))</x:f>
        <x:v>OK</x:v>
      </x:c>
    </x:row>
    <x:row r="13" ht="20" customHeight="1">
      <x:c r="A13" s="18" t="str">
        <x:f>IF(COA_Master!A12="","",COA_Master!A12)</x:f>
        <x:v>152101</x:v>
      </x:c>
      <x:c r="B13" s="18" t="str">
        <x:f>IF(A13="","",COA_Master!C12)</x:f>
        <x:v>Trade Debtors</x:v>
      </x:c>
      <x:c r="C13" s="18" t="str">
        <x:f>IF(A13="","",COA_Master!D12)</x:f>
        <x:v>Current Assets</x:v>
      </x:c>
      <x:c r="D13" s="18" t="str">
        <x:f>IF(A13="","",COA_Master!F12)</x:f>
        <x:v>Asset</x:v>
      </x:c>
      <x:c r="E13" s="18" t="str">
        <x:f>IF(A13="","",COA_Master!G12)</x:f>
        <x:v>Debit</x:v>
      </x:c>
      <x:c r="F13" s="12">
        <x:f>IF(A13="","",COA_Master!N12)</x:f>
        <x:v>1500000</x:v>
      </x:c>
      <x:c r="G13" s="12">
        <x:f>IF(A13="","",COA_Master!O12)</x:f>
        <x:v>500000</x:v>
      </x:c>
      <x:c r="H13" s="12">
        <x:f>IF(A13="","",COA_Master!P12)</x:f>
        <x:v>300000</x:v>
      </x:c>
      <x:c r="I13" s="12">
        <x:f>IF(A13="","",IF(E13="Debit",F13+G13-H13,F13-G13+H13))</x:f>
        <x:v>1700000</x:v>
      </x:c>
      <x:c r="J13" s="12">
        <x:f>IF(A13="","",IF(E13="Debit",MAX(0,I13),0))</x:f>
        <x:v>1700000</x:v>
      </x:c>
      <x:c r="K13" s="12">
        <x:f>IF(A13="","",IF(E13="Credit",MAX(0,I13),0))</x:f>
        <x:v>0</x:v>
      </x:c>
      <x:c r="L13" s="12">
        <x:f>IF(A13="","",COA_Master!R12)</x:f>
        <x:v>1300000</x:v>
      </x:c>
      <x:c r="M13" s="12">
        <x:f>IF(A13="","",I13-L13)</x:f>
        <x:v>400000</x:v>
      </x:c>
      <x:c r="N13" s="19" t="str">
        <x:f>IF(A13="","",IF(ABS(I13-COA_Master!Q12)&lt;=0.01,"OK","CHECK"))</x:f>
        <x:v>OK</x:v>
      </x:c>
    </x:row>
    <x:row r="14" ht="20" customHeight="1">
      <x:c r="A14" s="18" t="str">
        <x:f>IF(COA_Master!A13="","",COA_Master!A13)</x:f>
        <x:v>153201</x:v>
      </x:c>
      <x:c r="B14" s="18" t="str">
        <x:f>IF(A14="","",COA_Master!C13)</x:f>
        <x:v>Prepaid Expenses</x:v>
      </x:c>
      <x:c r="C14" s="18" t="str">
        <x:f>IF(A14="","",COA_Master!D13)</x:f>
        <x:v>Current Assets</x:v>
      </x:c>
      <x:c r="D14" s="18" t="str">
        <x:f>IF(A14="","",COA_Master!F13)</x:f>
        <x:v>Asset</x:v>
      </x:c>
      <x:c r="E14" s="18" t="str">
        <x:f>IF(A14="","",COA_Master!G13)</x:f>
        <x:v>Debit</x:v>
      </x:c>
      <x:c r="F14" s="12">
        <x:f>IF(A14="","",COA_Master!N13)</x:f>
        <x:v>0</x:v>
      </x:c>
      <x:c r="G14" s="12">
        <x:f>IF(A14="","",COA_Master!O13)</x:f>
        <x:v>0</x:v>
      </x:c>
      <x:c r="H14" s="12">
        <x:f>IF(A14="","",COA_Master!P13)</x:f>
        <x:v>0</x:v>
      </x:c>
      <x:c r="I14" s="12">
        <x:f>IF(A14="","",IF(E14="Debit",F14+G14-H14,F14-G14+H14))</x:f>
        <x:v>0</x:v>
      </x:c>
      <x:c r="J14" s="12">
        <x:f>IF(A14="","",IF(E14="Debit",MAX(0,I14),0))</x:f>
        <x:v>0</x:v>
      </x:c>
      <x:c r="K14" s="12">
        <x:f>IF(A14="","",IF(E14="Credit",MAX(0,I14),0))</x:f>
        <x:v>0</x:v>
      </x:c>
      <x:c r="L14" s="12">
        <x:f>IF(A14="","",COA_Master!R13)</x:f>
        <x:v>0</x:v>
      </x:c>
      <x:c r="M14" s="12">
        <x:f>IF(A14="","",I14-L14)</x:f>
        <x:v>0</x:v>
      </x:c>
      <x:c r="N14" s="19" t="str">
        <x:f>IF(A14="","",IF(ABS(I14-COA_Master!Q13)&lt;=0.01,"OK","CHECK"))</x:f>
        <x:v>OK</x:v>
      </x:c>
    </x:row>
    <x:row r="15" ht="20" customHeight="1">
      <x:c r="A15" s="18" t="str">
        <x:f>IF(COA_Master!A14="","",COA_Master!A14)</x:f>
        <x:v>154101</x:v>
      </x:c>
      <x:c r="B15" s="18" t="str">
        <x:f>IF(A15="","",COA_Master!C14)</x:f>
        <x:v>Cash in Hand</x:v>
      </x:c>
      <x:c r="C15" s="18" t="str">
        <x:f>IF(A15="","",COA_Master!D14)</x:f>
        <x:v>Current Assets</x:v>
      </x:c>
      <x:c r="D15" s="18" t="str">
        <x:f>IF(A15="","",COA_Master!F14)</x:f>
        <x:v>Asset</x:v>
      </x:c>
      <x:c r="E15" s="18" t="str">
        <x:f>IF(A15="","",COA_Master!G14)</x:f>
        <x:v>Debit</x:v>
      </x:c>
      <x:c r="F15" s="12">
        <x:f>IF(A15="","",COA_Master!N14)</x:f>
        <x:v>0</x:v>
      </x:c>
      <x:c r="G15" s="12">
        <x:f>IF(A15="","",COA_Master!O14)</x:f>
        <x:v>0</x:v>
      </x:c>
      <x:c r="H15" s="12">
        <x:f>IF(A15="","",COA_Master!P14)</x:f>
        <x:v>0</x:v>
      </x:c>
      <x:c r="I15" s="12">
        <x:f>IF(A15="","",IF(E15="Debit",F15+G15-H15,F15-G15+H15))</x:f>
        <x:v>0</x:v>
      </x:c>
      <x:c r="J15" s="12">
        <x:f>IF(A15="","",IF(E15="Debit",MAX(0,I15),0))</x:f>
        <x:v>0</x:v>
      </x:c>
      <x:c r="K15" s="12">
        <x:f>IF(A15="","",IF(E15="Credit",MAX(0,I15),0))</x:f>
        <x:v>0</x:v>
      </x:c>
      <x:c r="L15" s="12">
        <x:f>IF(A15="","",COA_Master!R14)</x:f>
        <x:v>0</x:v>
      </x:c>
      <x:c r="M15" s="12">
        <x:f>IF(A15="","",I15-L15)</x:f>
        <x:v>0</x:v>
      </x:c>
      <x:c r="N15" s="19" t="str">
        <x:f>IF(A15="","",IF(ABS(I15-COA_Master!Q14)&lt;=0.01,"OK","CHECK"))</x:f>
        <x:v>OK</x:v>
      </x:c>
    </x:row>
    <x:row r="16" ht="20" customHeight="1">
      <x:c r="A16" s="18" t="str">
        <x:f>IF(COA_Master!A15="","",COA_Master!A15)</x:f>
        <x:v>154201</x:v>
      </x:c>
      <x:c r="B16" s="18" t="str">
        <x:f>IF(A16="","",COA_Master!C15)</x:f>
        <x:v>Cash at Bank</x:v>
      </x:c>
      <x:c r="C16" s="18" t="str">
        <x:f>IF(A16="","",COA_Master!D15)</x:f>
        <x:v>Current Assets</x:v>
      </x:c>
      <x:c r="D16" s="18" t="str">
        <x:f>IF(A16="","",COA_Master!F15)</x:f>
        <x:v>Asset</x:v>
      </x:c>
      <x:c r="E16" s="18" t="str">
        <x:f>IF(A16="","",COA_Master!G15)</x:f>
        <x:v>Debit</x:v>
      </x:c>
      <x:c r="F16" s="12">
        <x:f>IF(A16="","",COA_Master!N15)</x:f>
        <x:v>2000000</x:v>
      </x:c>
      <x:c r="G16" s="12">
        <x:f>IF(A16="","",COA_Master!O15)</x:f>
        <x:v>310000</x:v>
      </x:c>
      <x:c r="H16" s="12">
        <x:f>IF(A16="","",COA_Master!P15)</x:f>
        <x:v>150000</x:v>
      </x:c>
      <x:c r="I16" s="12">
        <x:f>IF(A16="","",IF(E16="Debit",F16+G16-H16,F16-G16+H16))</x:f>
        <x:v>2160000</x:v>
      </x:c>
      <x:c r="J16" s="12">
        <x:f>IF(A16="","",IF(E16="Debit",MAX(0,I16),0))</x:f>
        <x:v>2160000</x:v>
      </x:c>
      <x:c r="K16" s="12">
        <x:f>IF(A16="","",IF(E16="Credit",MAX(0,I16),0))</x:f>
        <x:v>0</x:v>
      </x:c>
      <x:c r="L16" s="12">
        <x:f>IF(A16="","",COA_Master!R15)</x:f>
        <x:v>1700000</x:v>
      </x:c>
      <x:c r="M16" s="12">
        <x:f>IF(A16="","",I16-L16)</x:f>
        <x:v>460000</x:v>
      </x:c>
      <x:c r="N16" s="19" t="str">
        <x:f>IF(A16="","",IF(ABS(I16-COA_Master!Q15)&lt;=0.01,"OK","CHECK"))</x:f>
        <x:v>OK</x:v>
      </x:c>
    </x:row>
    <x:row r="17" ht="20" customHeight="1">
      <x:c r="A17" s="18" t="str">
        <x:f>IF(COA_Master!A16="","",COA_Master!A16)</x:f>
        <x:v>210301</x:v>
      </x:c>
      <x:c r="B17" s="18" t="str">
        <x:f>IF(A17="","",COA_Master!C16)</x:f>
        <x:v>Paid-up Capital</x:v>
      </x:c>
      <x:c r="C17" s="18" t="str">
        <x:f>IF(A17="","",COA_Master!D16)</x:f>
        <x:v>Equity</x:v>
      </x:c>
      <x:c r="D17" s="18" t="str">
        <x:f>IF(A17="","",COA_Master!F16)</x:f>
        <x:v>Equity</x:v>
      </x:c>
      <x:c r="E17" s="18" t="str">
        <x:f>IF(A17="","",COA_Master!G16)</x:f>
        <x:v>Credit</x:v>
      </x:c>
      <x:c r="F17" s="12">
        <x:f>IF(A17="","",COA_Master!N16)</x:f>
        <x:v>5000000</x:v>
      </x:c>
      <x:c r="G17" s="12">
        <x:f>IF(A17="","",COA_Master!O16)</x:f>
        <x:v>0</x:v>
      </x:c>
      <x:c r="H17" s="12">
        <x:f>IF(A17="","",COA_Master!P16)</x:f>
        <x:v>0</x:v>
      </x:c>
      <x:c r="I17" s="12">
        <x:f>IF(A17="","",IF(E17="Debit",F17+G17-H17,F17-G17+H17))</x:f>
        <x:v>5000000</x:v>
      </x:c>
      <x:c r="J17" s="12">
        <x:f>IF(A17="","",IF(E17="Debit",MAX(0,I17),0))</x:f>
        <x:v>0</x:v>
      </x:c>
      <x:c r="K17" s="12">
        <x:f>IF(A17="","",IF(E17="Credit",MAX(0,I17),0))</x:f>
        <x:v>5000000</x:v>
      </x:c>
      <x:c r="L17" s="12">
        <x:f>IF(A17="","",COA_Master!R16)</x:f>
        <x:v>5000000</x:v>
      </x:c>
      <x:c r="M17" s="12">
        <x:f>IF(A17="","",I17-L17)</x:f>
        <x:v>0</x:v>
      </x:c>
      <x:c r="N17" s="19" t="str">
        <x:f>IF(A17="","",IF(ABS(I17-COA_Master!Q16)&lt;=0.01,"OK","CHECK"))</x:f>
        <x:v>OK</x:v>
      </x:c>
    </x:row>
    <x:row r="18" ht="20" customHeight="1">
      <x:c r="A18" s="18" t="str">
        <x:f>IF(COA_Master!A17="","",COA_Master!A17)</x:f>
        <x:v>230101</x:v>
      </x:c>
      <x:c r="B18" s="18" t="str">
        <x:f>IF(A18="","",COA_Master!C17)</x:f>
        <x:v>Unappropriated Profit</x:v>
      </x:c>
      <x:c r="C18" s="18" t="str">
        <x:f>IF(A18="","",COA_Master!D17)</x:f>
        <x:v>Equity</x:v>
      </x:c>
      <x:c r="D18" s="18" t="str">
        <x:f>IF(A18="","",COA_Master!F17)</x:f>
        <x:v>Equity</x:v>
      </x:c>
      <x:c r="E18" s="18" t="str">
        <x:f>IF(A18="","",COA_Master!G17)</x:f>
        <x:v>Credit</x:v>
      </x:c>
      <x:c r="F18" s="12">
        <x:f>IF(A18="","",COA_Master!N17)</x:f>
        <x:v>1000000</x:v>
      </x:c>
      <x:c r="G18" s="12">
        <x:f>IF(A18="","",COA_Master!O17)</x:f>
        <x:v>0</x:v>
      </x:c>
      <x:c r="H18" s="12">
        <x:f>IF(A18="","",COA_Master!P17)</x:f>
        <x:v>0</x:v>
      </x:c>
      <x:c r="I18" s="12">
        <x:f>IF(A18="","",IF(E18="Debit",F18+G18-H18,F18-G18+H18))</x:f>
        <x:v>1000000</x:v>
      </x:c>
      <x:c r="J18" s="12">
        <x:f>IF(A18="","",IF(E18="Debit",MAX(0,I18),0))</x:f>
        <x:v>0</x:v>
      </x:c>
      <x:c r="K18" s="12">
        <x:f>IF(A18="","",IF(E18="Credit",MAX(0,I18),0))</x:f>
        <x:v>1000000</x:v>
      </x:c>
      <x:c r="L18" s="12">
        <x:f>IF(A18="","",COA_Master!R17)</x:f>
        <x:v>900000</x:v>
      </x:c>
      <x:c r="M18" s="12">
        <x:f>IF(A18="","",I18-L18)</x:f>
        <x:v>100000</x:v>
      </x:c>
      <x:c r="N18" s="19" t="str">
        <x:f>IF(A18="","",IF(ABS(I18-COA_Master!Q17)&lt;=0.01,"OK","CHECK"))</x:f>
        <x:v>OK</x:v>
      </x:c>
    </x:row>
    <x:row r="19" ht="20" customHeight="1">
      <x:c r="A19" s="18" t="str">
        <x:f>IF(COA_Master!A18="","",COA_Master!A18)</x:f>
        <x:v>310101</x:v>
      </x:c>
      <x:c r="B19" s="18" t="str">
        <x:f>IF(A19="","",COA_Master!C18)</x:f>
        <x:v>Long-term Loan</x:v>
      </x:c>
      <x:c r="C19" s="18" t="str">
        <x:f>IF(A19="","",COA_Master!D18)</x:f>
        <x:v>Non-Current Liabilities</x:v>
      </x:c>
      <x:c r="D19" s="18" t="str">
        <x:f>IF(A19="","",COA_Master!F18)</x:f>
        <x:v>Liability</x:v>
      </x:c>
      <x:c r="E19" s="18" t="str">
        <x:f>IF(A19="","",COA_Master!G18)</x:f>
        <x:v>Credit</x:v>
      </x:c>
      <x:c r="F19" s="12">
        <x:f>IF(A19="","",COA_Master!N18)</x:f>
        <x:v>200000</x:v>
      </x:c>
      <x:c r="G19" s="12">
        <x:f>IF(A19="","",COA_Master!O18)</x:f>
        <x:v>0</x:v>
      </x:c>
      <x:c r="H19" s="12">
        <x:f>IF(A19="","",COA_Master!P18)</x:f>
        <x:v>0</x:v>
      </x:c>
      <x:c r="I19" s="12">
        <x:f>IF(A19="","",IF(E19="Debit",F19+G19-H19,F19-G19+H19))</x:f>
        <x:v>200000</x:v>
      </x:c>
      <x:c r="J19" s="12">
        <x:f>IF(A19="","",IF(E19="Debit",MAX(0,I19),0))</x:f>
        <x:v>0</x:v>
      </x:c>
      <x:c r="K19" s="12">
        <x:f>IF(A19="","",IF(E19="Credit",MAX(0,I19),0))</x:f>
        <x:v>200000</x:v>
      </x:c>
      <x:c r="L19" s="12">
        <x:f>IF(A19="","",COA_Master!R18)</x:f>
        <x:v>300000</x:v>
      </x:c>
      <x:c r="M19" s="12">
        <x:f>IF(A19="","",I19-L19)</x:f>
        <x:v>-100000</x:v>
      </x:c>
      <x:c r="N19" s="19" t="str">
        <x:f>IF(A19="","",IF(ABS(I19-COA_Master!Q18)&lt;=0.01,"OK","CHECK"))</x:f>
        <x:v>OK</x:v>
      </x:c>
    </x:row>
    <x:row r="20" ht="20" customHeight="1">
      <x:c r="A20" s="18" t="str">
        <x:f>IF(COA_Master!A19="","",COA_Master!A19)</x:f>
        <x:v>321101</x:v>
      </x:c>
      <x:c r="B20" s="18" t="str">
        <x:f>IF(A20="","",COA_Master!C19)</x:f>
        <x:v>Trade Creditors</x:v>
      </x:c>
      <x:c r="C20" s="18" t="str">
        <x:f>IF(A20="","",COA_Master!D19)</x:f>
        <x:v>Current Liabilities</x:v>
      </x:c>
      <x:c r="D20" s="18" t="str">
        <x:f>IF(A20="","",COA_Master!F19)</x:f>
        <x:v>Liability</x:v>
      </x:c>
      <x:c r="E20" s="18" t="str">
        <x:f>IF(A20="","",COA_Master!G19)</x:f>
        <x:v>Credit</x:v>
      </x:c>
      <x:c r="F20" s="12">
        <x:f>IF(A20="","",COA_Master!N19)</x:f>
        <x:v>800000</x:v>
      </x:c>
      <x:c r="G20" s="12">
        <x:f>IF(A20="","",COA_Master!O19)</x:f>
        <x:v>0</x:v>
      </x:c>
      <x:c r="H20" s="12">
        <x:f>IF(A20="","",COA_Master!P19)</x:f>
        <x:v>400000</x:v>
      </x:c>
      <x:c r="I20" s="12">
        <x:f>IF(A20="","",IF(E20="Debit",F20+G20-H20,F20-G20+H20))</x:f>
        <x:v>1200000</x:v>
      </x:c>
      <x:c r="J20" s="12">
        <x:f>IF(A20="","",IF(E20="Debit",MAX(0,I20),0))</x:f>
        <x:v>0</x:v>
      </x:c>
      <x:c r="K20" s="12">
        <x:f>IF(A20="","",IF(E20="Credit",MAX(0,I20),0))</x:f>
        <x:v>1200000</x:v>
      </x:c>
      <x:c r="L20" s="12">
        <x:f>IF(A20="","",COA_Master!R19)</x:f>
        <x:v>750000</x:v>
      </x:c>
      <x:c r="M20" s="12">
        <x:f>IF(A20="","",I20-L20)</x:f>
        <x:v>450000</x:v>
      </x:c>
      <x:c r="N20" s="19" t="str">
        <x:f>IF(A20="","",IF(ABS(I20-COA_Master!Q19)&lt;=0.01,"OK","CHECK"))</x:f>
        <x:v>OK</x:v>
      </x:c>
    </x:row>
    <x:row r="21">
      <x:c r="A21" s="18" t="str">
        <x:f>IF(COA_Master!A20="","",COA_Master!A20)</x:f>
        <x:v>324101</x:v>
      </x:c>
      <x:c r="B21" s="18" t="str">
        <x:f>IF(A21="","",COA_Master!C20)</x:f>
        <x:v>Income Tax Payable</x:v>
      </x:c>
      <x:c r="C21" s="18" t="str">
        <x:f>IF(A21="","",COA_Master!D20)</x:f>
        <x:v>Current Liabilities</x:v>
      </x:c>
      <x:c r="D21" s="18" t="str">
        <x:f>IF(A21="","",COA_Master!F20)</x:f>
        <x:v>Liability</x:v>
      </x:c>
      <x:c r="E21" s="18" t="str">
        <x:f>IF(A21="","",COA_Master!G20)</x:f>
        <x:v>Credit</x:v>
      </x:c>
      <x:c r="F21" s="12">
        <x:f>IF(A21="","",COA_Master!N20)</x:f>
        <x:v>0</x:v>
      </x:c>
      <x:c r="G21" s="12">
        <x:f>IF(A21="","",COA_Master!O20)</x:f>
        <x:v>0</x:v>
      </x:c>
      <x:c r="H21" s="12">
        <x:f>IF(A21="","",COA_Master!P20)</x:f>
        <x:v>0</x:v>
      </x:c>
      <x:c r="I21" s="12">
        <x:f>IF(A21="","",IF(E21="Debit",F21+G21-H21,F21-G21+H21))</x:f>
        <x:v>0</x:v>
      </x:c>
      <x:c r="J21" s="12">
        <x:f>IF(A21="","",IF(E21="Debit",MAX(0,I21),0))</x:f>
        <x:v>0</x:v>
      </x:c>
      <x:c r="K21" s="12">
        <x:f>IF(A21="","",IF(E21="Credit",MAX(0,I21),0))</x:f>
        <x:v>0</x:v>
      </x:c>
      <x:c r="L21" s="12">
        <x:f>IF(A21="","",COA_Master!R20)</x:f>
        <x:v>0</x:v>
      </x:c>
      <x:c r="M21" s="12">
        <x:f>IF(A21="","",I21-L21)</x:f>
        <x:v>0</x:v>
      </x:c>
      <x:c r="N21" s="19" t="str">
        <x:f>IF(A21="","",IF(ABS(I21-COA_Master!Q20)&lt;=0.01,"OK","CHECK"))</x:f>
        <x:v>OK</x:v>
      </x:c>
    </x:row>
    <x:row r="22">
      <x:c r="A22" s="18" t="str">
        <x:f>IF(COA_Master!A21="","",COA_Master!A21)</x:f>
        <x:v>410101</x:v>
      </x:c>
      <x:c r="B22" s="18" t="str">
        <x:f>IF(A22="","",COA_Master!C21)</x:f>
        <x:v>Sales - Local</x:v>
      </x:c>
      <x:c r="C22" s="18" t="str">
        <x:f>IF(A22="","",COA_Master!D21)</x:f>
        <x:v>Revenue</x:v>
      </x:c>
      <x:c r="D22" s="18" t="str">
        <x:f>IF(A22="","",COA_Master!F21)</x:f>
        <x:v>Income</x:v>
      </x:c>
      <x:c r="E22" s="18" t="str">
        <x:f>IF(A22="","",COA_Master!G21)</x:f>
        <x:v>Credit</x:v>
      </x:c>
      <x:c r="F22" s="12">
        <x:f>IF(A22="","",COA_Master!N21)</x:f>
        <x:v>0</x:v>
      </x:c>
      <x:c r="G22" s="12">
        <x:f>IF(A22="","",COA_Master!O21)</x:f>
        <x:v>0</x:v>
      </x:c>
      <x:c r="H22" s="12">
        <x:f>IF(A22="","",COA_Master!P21)</x:f>
        <x:v>500000</x:v>
      </x:c>
      <x:c r="I22" s="12">
        <x:f>IF(A22="","",IF(E22="Debit",F22+G22-H22,F22-G22+H22))</x:f>
        <x:v>500000</x:v>
      </x:c>
      <x:c r="J22" s="12">
        <x:f>IF(A22="","",IF(E22="Debit",MAX(0,I22),0))</x:f>
        <x:v>0</x:v>
      </x:c>
      <x:c r="K22" s="12">
        <x:f>IF(A22="","",IF(E22="Credit",MAX(0,I22),0))</x:f>
        <x:v>500000</x:v>
      </x:c>
      <x:c r="L22" s="12">
        <x:f>IF(A22="","",COA_Master!R21)</x:f>
        <x:v>0</x:v>
      </x:c>
      <x:c r="M22" s="12">
        <x:f>IF(A22="","",I22-L22)</x:f>
        <x:v>500000</x:v>
      </x:c>
      <x:c r="N22" s="19" t="str">
        <x:f>IF(A22="","",IF(ABS(I22-COA_Master!Q21)&lt;=0.01,"OK","CHECK"))</x:f>
        <x:v>OK</x:v>
      </x:c>
    </x:row>
    <x:row r="23">
      <x:c r="A23" s="18" t="str">
        <x:f>IF(COA_Master!A22="","",COA_Master!A22)</x:f>
        <x:v>420101</x:v>
      </x:c>
      <x:c r="B23" s="18" t="str">
        <x:f>IF(A23="","",COA_Master!C22)</x:f>
        <x:v>Profit on Bank Deposits</x:v>
      </x:c>
      <x:c r="C23" s="18" t="str">
        <x:f>IF(A23="","",COA_Master!D22)</x:f>
        <x:v>Other Income</x:v>
      </x:c>
      <x:c r="D23" s="18" t="str">
        <x:f>IF(A23="","",COA_Master!F22)</x:f>
        <x:v>Income</x:v>
      </x:c>
      <x:c r="E23" s="18" t="str">
        <x:f>IF(A23="","",COA_Master!G22)</x:f>
        <x:v>Credit</x:v>
      </x:c>
      <x:c r="F23" s="12">
        <x:f>IF(A23="","",COA_Master!N22)</x:f>
        <x:v>0</x:v>
      </x:c>
      <x:c r="G23" s="12">
        <x:f>IF(A23="","",COA_Master!O22)</x:f>
        <x:v>0</x:v>
      </x:c>
      <x:c r="H23" s="12">
        <x:f>IF(A23="","",COA_Master!P22)</x:f>
        <x:v>10000</x:v>
      </x:c>
      <x:c r="I23" s="12">
        <x:f>IF(A23="","",IF(E23="Debit",F23+G23-H23,F23-G23+H23))</x:f>
        <x:v>10000</x:v>
      </x:c>
      <x:c r="J23" s="12">
        <x:f>IF(A23="","",IF(E23="Debit",MAX(0,I23),0))</x:f>
        <x:v>0</x:v>
      </x:c>
      <x:c r="K23" s="12">
        <x:f>IF(A23="","",IF(E23="Credit",MAX(0,I23),0))</x:f>
        <x:v>10000</x:v>
      </x:c>
      <x:c r="L23" s="12">
        <x:f>IF(A23="","",COA_Master!R22)</x:f>
        <x:v>0</x:v>
      </x:c>
      <x:c r="M23" s="12">
        <x:f>IF(A23="","",I23-L23)</x:f>
        <x:v>10000</x:v>
      </x:c>
      <x:c r="N23" s="19" t="str">
        <x:f>IF(A23="","",IF(ABS(I23-COA_Master!Q22)&lt;=0.01,"OK","CHECK"))</x:f>
        <x:v>OK</x:v>
      </x:c>
    </x:row>
    <x:row r="24">
      <x:c r="A24" s="18" t="str">
        <x:f>IF(COA_Master!A23="","",COA_Master!A23)</x:f>
        <x:v>510101</x:v>
      </x:c>
      <x:c r="B24" s="18" t="str">
        <x:f>IF(A24="","",COA_Master!C23)</x:f>
        <x:v>Raw Material Consumed</x:v>
      </x:c>
      <x:c r="C24" s="18" t="str">
        <x:f>IF(A24="","",COA_Master!D23)</x:f>
        <x:v>Cost of Sales</x:v>
      </x:c>
      <x:c r="D24" s="18" t="str">
        <x:f>IF(A24="","",COA_Master!F23)</x:f>
        <x:v>Expense</x:v>
      </x:c>
      <x:c r="E24" s="18" t="str">
        <x:f>IF(A24="","",COA_Master!G23)</x:f>
        <x:v>Debit</x:v>
      </x:c>
      <x:c r="F24" s="12">
        <x:f>IF(A24="","",COA_Master!N23)</x:f>
        <x:v>0</x:v>
      </x:c>
      <x:c r="G24" s="12">
        <x:f>IF(A24="","",COA_Master!O23)</x:f>
        <x:v>0</x:v>
      </x:c>
      <x:c r="H24" s="12">
        <x:f>IF(A24="","",COA_Master!P23)</x:f>
        <x:v>0</x:v>
      </x:c>
      <x:c r="I24" s="12">
        <x:f>IF(A24="","",IF(E24="Debit",F24+G24-H24,F24-G24+H24))</x:f>
        <x:v>0</x:v>
      </x:c>
      <x:c r="J24" s="12">
        <x:f>IF(A24="","",IF(E24="Debit",MAX(0,I24),0))</x:f>
        <x:v>0</x:v>
      </x:c>
      <x:c r="K24" s="12">
        <x:f>IF(A24="","",IF(E24="Credit",MAX(0,I24),0))</x:f>
        <x:v>0</x:v>
      </x:c>
      <x:c r="L24" s="12">
        <x:f>IF(A24="","",COA_Master!R23)</x:f>
        <x:v>0</x:v>
      </x:c>
      <x:c r="M24" s="12">
        <x:f>IF(A24="","",I24-L24)</x:f>
        <x:v>0</x:v>
      </x:c>
      <x:c r="N24" s="19" t="str">
        <x:f>IF(A24="","",IF(ABS(I24-COA_Master!Q23)&lt;=0.01,"OK","CHECK"))</x:f>
        <x:v>OK</x:v>
      </x:c>
    </x:row>
    <x:row r="25">
      <x:c r="A25" s="18" t="str">
        <x:f>IF(COA_Master!A24="","",COA_Master!A24)</x:f>
        <x:v>610101</x:v>
      </x:c>
      <x:c r="B25" s="18" t="str">
        <x:f>IF(A25="","",COA_Master!C24)</x:f>
        <x:v>Salaries &amp; Wages</x:v>
      </x:c>
      <x:c r="C25" s="18" t="str">
        <x:f>IF(A25="","",COA_Master!D24)</x:f>
        <x:v>Administrative Expenses</x:v>
      </x:c>
      <x:c r="D25" s="18" t="str">
        <x:f>IF(A25="","",COA_Master!F24)</x:f>
        <x:v>Expense</x:v>
      </x:c>
      <x:c r="E25" s="18" t="str">
        <x:f>IF(A25="","",COA_Master!G24)</x:f>
        <x:v>Debit</x:v>
      </x:c>
      <x:c r="F25" s="12">
        <x:f>IF(A25="","",COA_Master!N24)</x:f>
        <x:v>0</x:v>
      </x:c>
      <x:c r="G25" s="12">
        <x:f>IF(A25="","",COA_Master!O24)</x:f>
        <x:v>150000</x:v>
      </x:c>
      <x:c r="H25" s="12">
        <x:f>IF(A25="","",COA_Master!P24)</x:f>
        <x:v>0</x:v>
      </x:c>
      <x:c r="I25" s="12">
        <x:f>IF(A25="","",IF(E25="Debit",F25+G25-H25,F25-G25+H25))</x:f>
        <x:v>150000</x:v>
      </x:c>
      <x:c r="J25" s="12">
        <x:f>IF(A25="","",IF(E25="Debit",MAX(0,I25),0))</x:f>
        <x:v>150000</x:v>
      </x:c>
      <x:c r="K25" s="12">
        <x:f>IF(A25="","",IF(E25="Credit",MAX(0,I25),0))</x:f>
        <x:v>0</x:v>
      </x:c>
      <x:c r="L25" s="12">
        <x:f>IF(A25="","",COA_Master!R24)</x:f>
        <x:v>0</x:v>
      </x:c>
      <x:c r="M25" s="12">
        <x:f>IF(A25="","",I25-L25)</x:f>
        <x:v>150000</x:v>
      </x:c>
      <x:c r="N25" s="19" t="str">
        <x:f>IF(A25="","",IF(ABS(I25-COA_Master!Q24)&lt;=0.01,"OK","CHECK"))</x:f>
        <x:v>OK</x:v>
      </x:c>
    </x:row>
    <x:row r="26">
      <x:c r="A26" s="18" t="str">
        <x:f>IF(COA_Master!A25="","",COA_Master!A25)</x:f>
        <x:v>710101</x:v>
      </x:c>
      <x:c r="B26" s="18" t="str">
        <x:f>IF(A26="","",COA_Master!C25)</x:f>
        <x:v>Interest Expense</x:v>
      </x:c>
      <x:c r="C26" s="18" t="str">
        <x:f>IF(A26="","",COA_Master!D25)</x:f>
        <x:v>Finance Costs</x:v>
      </x:c>
      <x:c r="D26" s="18" t="str">
        <x:f>IF(A26="","",COA_Master!F25)</x:f>
        <x:v>Expense</x:v>
      </x:c>
      <x:c r="E26" s="18" t="str">
        <x:f>IF(A26="","",COA_Master!G25)</x:f>
        <x:v>Debit</x:v>
      </x:c>
      <x:c r="F26" s="12">
        <x:f>IF(A26="","",COA_Master!N25)</x:f>
        <x:v>0</x:v>
      </x:c>
      <x:c r="G26" s="12">
        <x:f>IF(A26="","",COA_Master!O25)</x:f>
        <x:v>0</x:v>
      </x:c>
      <x:c r="H26" s="12">
        <x:f>IF(A26="","",COA_Master!P25)</x:f>
        <x:v>0</x:v>
      </x:c>
      <x:c r="I26" s="12">
        <x:f>IF(A26="","",IF(E26="Debit",F26+G26-H26,F26-G26+H26))</x:f>
        <x:v>0</x:v>
      </x:c>
      <x:c r="J26" s="12">
        <x:f>IF(A26="","",IF(E26="Debit",MAX(0,I26),0))</x:f>
        <x:v>0</x:v>
      </x:c>
      <x:c r="K26" s="12">
        <x:f>IF(A26="","",IF(E26="Credit",MAX(0,I26),0))</x:f>
        <x:v>0</x:v>
      </x:c>
      <x:c r="L26" s="12">
        <x:f>IF(A26="","",COA_Master!R25)</x:f>
        <x:v>0</x:v>
      </x:c>
      <x:c r="M26" s="12">
        <x:f>IF(A26="","",I26-L26)</x:f>
        <x:v>0</x:v>
      </x:c>
      <x:c r="N26" s="19" t="str">
        <x:f>IF(A26="","",IF(ABS(I26-COA_Master!Q25)&lt;=0.01,"OK","CHECK"))</x:f>
        <x:v>OK</x:v>
      </x:c>
    </x:row>
    <x:row r="27">
      <x:c r="A27" s="18">
        <x:f>IF(COA_Master!A26="","",COA_Master!A26)</x:f>
      </x:c>
      <x:c r="B27" s="18">
        <x:f>IF(A27="","",COA_Master!C26)</x:f>
      </x:c>
      <x:c r="C27" s="18">
        <x:f>IF(A27="","",COA_Master!D26)</x:f>
      </x:c>
      <x:c r="D27" s="18">
        <x:f>IF(A27="","",COA_Master!F26)</x:f>
      </x:c>
      <x:c r="E27" s="18">
        <x:f>IF(A27="","",COA_Master!G26)</x:f>
      </x:c>
      <x:c r="F27" s="12">
        <x:f>IF(A27="","",COA_Master!N26)</x:f>
      </x:c>
      <x:c r="G27" s="12">
        <x:f>IF(A27="","",COA_Master!O26)</x:f>
      </x:c>
      <x:c r="H27" s="12">
        <x:f>IF(A27="","",COA_Master!P26)</x:f>
      </x:c>
      <x:c r="I27" s="12">
        <x:f>IF(A27="","",IF(E27="Debit",F27+G27-H27,F27-G27+H27))</x:f>
      </x:c>
      <x:c r="J27" s="12">
        <x:f>IF(A27="","",IF(E27="Debit",MAX(0,I27),0))</x:f>
      </x:c>
      <x:c r="K27" s="12">
        <x:f>IF(A27="","",IF(E27="Credit",MAX(0,I27),0))</x:f>
      </x:c>
      <x:c r="L27" s="12">
        <x:f>IF(A27="","",COA_Master!R26)</x:f>
      </x:c>
      <x:c r="M27" s="12">
        <x:f>IF(A27="","",I27-L27)</x:f>
      </x:c>
      <x:c r="N27" s="19">
        <x:f>IF(A27="","",IF(ABS(I27-COA_Master!Q26)&lt;=0.01,"OK","CHECK"))</x:f>
      </x:c>
    </x:row>
    <x:row r="28">
      <x:c r="A28" s="18">
        <x:f>IF(COA_Master!A27="","",COA_Master!A27)</x:f>
      </x:c>
      <x:c r="B28" s="18">
        <x:f>IF(A28="","",COA_Master!C27)</x:f>
      </x:c>
      <x:c r="C28" s="18">
        <x:f>IF(A28="","",COA_Master!D27)</x:f>
      </x:c>
      <x:c r="D28" s="18">
        <x:f>IF(A28="","",COA_Master!F27)</x:f>
      </x:c>
      <x:c r="E28" s="18">
        <x:f>IF(A28="","",COA_Master!G27)</x:f>
      </x:c>
      <x:c r="F28" s="12">
        <x:f>IF(A28="","",COA_Master!N27)</x:f>
      </x:c>
      <x:c r="G28" s="12">
        <x:f>IF(A28="","",COA_Master!O27)</x:f>
      </x:c>
      <x:c r="H28" s="12">
        <x:f>IF(A28="","",COA_Master!P27)</x:f>
      </x:c>
      <x:c r="I28" s="12">
        <x:f>IF(A28="","",IF(E28="Debit",F28+G28-H28,F28-G28+H28))</x:f>
      </x:c>
      <x:c r="J28" s="12">
        <x:f>IF(A28="","",IF(E28="Debit",MAX(0,I28),0))</x:f>
      </x:c>
      <x:c r="K28" s="12">
        <x:f>IF(A28="","",IF(E28="Credit",MAX(0,I28),0))</x:f>
      </x:c>
      <x:c r="L28" s="12">
        <x:f>IF(A28="","",COA_Master!R27)</x:f>
      </x:c>
      <x:c r="M28" s="12">
        <x:f>IF(A28="","",I28-L28)</x:f>
      </x:c>
      <x:c r="N28" s="19">
        <x:f>IF(A28="","",IF(ABS(I28-COA_Master!Q27)&lt;=0.01,"OK","CHECK"))</x:f>
      </x:c>
    </x:row>
    <x:row r="29">
      <x:c r="A29" s="18">
        <x:f>IF(COA_Master!A28="","",COA_Master!A28)</x:f>
      </x:c>
      <x:c r="B29" s="18">
        <x:f>IF(A29="","",COA_Master!C28)</x:f>
      </x:c>
      <x:c r="C29" s="18">
        <x:f>IF(A29="","",COA_Master!D28)</x:f>
      </x:c>
      <x:c r="D29" s="18">
        <x:f>IF(A29="","",COA_Master!F28)</x:f>
      </x:c>
      <x:c r="E29" s="18">
        <x:f>IF(A29="","",COA_Master!G28)</x:f>
      </x:c>
      <x:c r="F29" s="12">
        <x:f>IF(A29="","",COA_Master!N28)</x:f>
      </x:c>
      <x:c r="G29" s="12">
        <x:f>IF(A29="","",COA_Master!O28)</x:f>
      </x:c>
      <x:c r="H29" s="12">
        <x:f>IF(A29="","",COA_Master!P28)</x:f>
      </x:c>
      <x:c r="I29" s="12">
        <x:f>IF(A29="","",IF(E29="Debit",F29+G29-H29,F29-G29+H29))</x:f>
      </x:c>
      <x:c r="J29" s="12">
        <x:f>IF(A29="","",IF(E29="Debit",MAX(0,I29),0))</x:f>
      </x:c>
      <x:c r="K29" s="12">
        <x:f>IF(A29="","",IF(E29="Credit",MAX(0,I29),0))</x:f>
      </x:c>
      <x:c r="L29" s="12">
        <x:f>IF(A29="","",COA_Master!R28)</x:f>
      </x:c>
      <x:c r="M29" s="12">
        <x:f>IF(A29="","",I29-L29)</x:f>
      </x:c>
      <x:c r="N29" s="19">
        <x:f>IF(A29="","",IF(ABS(I29-COA_Master!Q28)&lt;=0.01,"OK","CHECK"))</x:f>
      </x:c>
    </x:row>
    <x:row r="30">
      <x:c r="A30" s="18">
        <x:f>IF(COA_Master!A29="","",COA_Master!A29)</x:f>
      </x:c>
      <x:c r="B30" s="18">
        <x:f>IF(A30="","",COA_Master!C29)</x:f>
      </x:c>
      <x:c r="C30" s="18">
        <x:f>IF(A30="","",COA_Master!D29)</x:f>
      </x:c>
      <x:c r="D30" s="18">
        <x:f>IF(A30="","",COA_Master!F29)</x:f>
      </x:c>
      <x:c r="E30" s="18">
        <x:f>IF(A30="","",COA_Master!G29)</x:f>
      </x:c>
      <x:c r="F30" s="12">
        <x:f>IF(A30="","",COA_Master!N29)</x:f>
      </x:c>
      <x:c r="G30" s="12">
        <x:f>IF(A30="","",COA_Master!O29)</x:f>
      </x:c>
      <x:c r="H30" s="12">
        <x:f>IF(A30="","",COA_Master!P29)</x:f>
      </x:c>
      <x:c r="I30" s="12">
        <x:f>IF(A30="","",IF(E30="Debit",F30+G30-H30,F30-G30+H30))</x:f>
      </x:c>
      <x:c r="J30" s="12">
        <x:f>IF(A30="","",IF(E30="Debit",MAX(0,I30),0))</x:f>
      </x:c>
      <x:c r="K30" s="12">
        <x:f>IF(A30="","",IF(E30="Credit",MAX(0,I30),0))</x:f>
      </x:c>
      <x:c r="L30" s="12">
        <x:f>IF(A30="","",COA_Master!R29)</x:f>
      </x:c>
      <x:c r="M30" s="12">
        <x:f>IF(A30="","",I30-L30)</x:f>
      </x:c>
      <x:c r="N30" s="19">
        <x:f>IF(A30="","",IF(ABS(I30-COA_Master!Q29)&lt;=0.01,"OK","CHECK"))</x:f>
      </x:c>
    </x:row>
    <x:row r="31">
      <x:c r="A31" s="18">
        <x:f>IF(COA_Master!A30="","",COA_Master!A30)</x:f>
      </x:c>
      <x:c r="B31" s="18">
        <x:f>IF(A31="","",COA_Master!C30)</x:f>
      </x:c>
      <x:c r="C31" s="18">
        <x:f>IF(A31="","",COA_Master!D30)</x:f>
      </x:c>
      <x:c r="D31" s="18">
        <x:f>IF(A31="","",COA_Master!F30)</x:f>
      </x:c>
      <x:c r="E31" s="18">
        <x:f>IF(A31="","",COA_Master!G30)</x:f>
      </x:c>
      <x:c r="F31" s="12">
        <x:f>IF(A31="","",COA_Master!N30)</x:f>
      </x:c>
      <x:c r="G31" s="12">
        <x:f>IF(A31="","",COA_Master!O30)</x:f>
      </x:c>
      <x:c r="H31" s="12">
        <x:f>IF(A31="","",COA_Master!P30)</x:f>
      </x:c>
      <x:c r="I31" s="12">
        <x:f>IF(A31="","",IF(E31="Debit",F31+G31-H31,F31-G31+H31))</x:f>
      </x:c>
      <x:c r="J31" s="12">
        <x:f>IF(A31="","",IF(E31="Debit",MAX(0,I31),0))</x:f>
      </x:c>
      <x:c r="K31" s="12">
        <x:f>IF(A31="","",IF(E31="Credit",MAX(0,I31),0))</x:f>
      </x:c>
      <x:c r="L31" s="12">
        <x:f>IF(A31="","",COA_Master!R30)</x:f>
      </x:c>
      <x:c r="M31" s="12">
        <x:f>IF(A31="","",I31-L31)</x:f>
      </x:c>
      <x:c r="N31" s="19">
        <x:f>IF(A31="","",IF(ABS(I31-COA_Master!Q30)&lt;=0.01,"OK","CHECK"))</x:f>
      </x:c>
    </x:row>
    <x:row r="32">
      <x:c r="A32" s="18">
        <x:f>IF(COA_Master!A31="","",COA_Master!A31)</x:f>
      </x:c>
      <x:c r="B32" s="18">
        <x:f>IF(A32="","",COA_Master!C31)</x:f>
      </x:c>
      <x:c r="C32" s="18">
        <x:f>IF(A32="","",COA_Master!D31)</x:f>
      </x:c>
      <x:c r="D32" s="18">
        <x:f>IF(A32="","",COA_Master!F31)</x:f>
      </x:c>
      <x:c r="E32" s="18">
        <x:f>IF(A32="","",COA_Master!G31)</x:f>
      </x:c>
      <x:c r="F32" s="12">
        <x:f>IF(A32="","",COA_Master!N31)</x:f>
      </x:c>
      <x:c r="G32" s="12">
        <x:f>IF(A32="","",COA_Master!O31)</x:f>
      </x:c>
      <x:c r="H32" s="12">
        <x:f>IF(A32="","",COA_Master!P31)</x:f>
      </x:c>
      <x:c r="I32" s="12">
        <x:f>IF(A32="","",IF(E32="Debit",F32+G32-H32,F32-G32+H32))</x:f>
      </x:c>
      <x:c r="J32" s="12">
        <x:f>IF(A32="","",IF(E32="Debit",MAX(0,I32),0))</x:f>
      </x:c>
      <x:c r="K32" s="12">
        <x:f>IF(A32="","",IF(E32="Credit",MAX(0,I32),0))</x:f>
      </x:c>
      <x:c r="L32" s="12">
        <x:f>IF(A32="","",COA_Master!R31)</x:f>
      </x:c>
      <x:c r="M32" s="12">
        <x:f>IF(A32="","",I32-L32)</x:f>
      </x:c>
      <x:c r="N32" s="19">
        <x:f>IF(A32="","",IF(ABS(I32-COA_Master!Q31)&lt;=0.01,"OK","CHECK"))</x:f>
      </x:c>
    </x:row>
    <x:row r="33">
      <x:c r="A33" s="18">
        <x:f>IF(COA_Master!A32="","",COA_Master!A32)</x:f>
      </x:c>
      <x:c r="B33" s="18">
        <x:f>IF(A33="","",COA_Master!C32)</x:f>
      </x:c>
      <x:c r="C33" s="18">
        <x:f>IF(A33="","",COA_Master!D32)</x:f>
      </x:c>
      <x:c r="D33" s="18">
        <x:f>IF(A33="","",COA_Master!F32)</x:f>
      </x:c>
      <x:c r="E33" s="18">
        <x:f>IF(A33="","",COA_Master!G32)</x:f>
      </x:c>
      <x:c r="F33" s="12">
        <x:f>IF(A33="","",COA_Master!N32)</x:f>
      </x:c>
      <x:c r="G33" s="12">
        <x:f>IF(A33="","",COA_Master!O32)</x:f>
      </x:c>
      <x:c r="H33" s="12">
        <x:f>IF(A33="","",COA_Master!P32)</x:f>
      </x:c>
      <x:c r="I33" s="12">
        <x:f>IF(A33="","",IF(E33="Debit",F33+G33-H33,F33-G33+H33))</x:f>
      </x:c>
      <x:c r="J33" s="12">
        <x:f>IF(A33="","",IF(E33="Debit",MAX(0,I33),0))</x:f>
      </x:c>
      <x:c r="K33" s="12">
        <x:f>IF(A33="","",IF(E33="Credit",MAX(0,I33),0))</x:f>
      </x:c>
      <x:c r="L33" s="12">
        <x:f>IF(A33="","",COA_Master!R32)</x:f>
      </x:c>
      <x:c r="M33" s="12">
        <x:f>IF(A33="","",I33-L33)</x:f>
      </x:c>
      <x:c r="N33" s="19">
        <x:f>IF(A33="","",IF(ABS(I33-COA_Master!Q32)&lt;=0.01,"OK","CHECK"))</x:f>
      </x:c>
    </x:row>
    <x:row r="34">
      <x:c r="A34" s="18">
        <x:f>IF(COA_Master!A33="","",COA_Master!A33)</x:f>
      </x:c>
      <x:c r="B34" s="18">
        <x:f>IF(A34="","",COA_Master!C33)</x:f>
      </x:c>
      <x:c r="C34" s="18">
        <x:f>IF(A34="","",COA_Master!D33)</x:f>
      </x:c>
      <x:c r="D34" s="18">
        <x:f>IF(A34="","",COA_Master!F33)</x:f>
      </x:c>
      <x:c r="E34" s="18">
        <x:f>IF(A34="","",COA_Master!G33)</x:f>
      </x:c>
      <x:c r="F34" s="12">
        <x:f>IF(A34="","",COA_Master!N33)</x:f>
      </x:c>
      <x:c r="G34" s="12">
        <x:f>IF(A34="","",COA_Master!O33)</x:f>
      </x:c>
      <x:c r="H34" s="12">
        <x:f>IF(A34="","",COA_Master!P33)</x:f>
      </x:c>
      <x:c r="I34" s="12">
        <x:f>IF(A34="","",IF(E34="Debit",F34+G34-H34,F34-G34+H34))</x:f>
      </x:c>
      <x:c r="J34" s="12">
        <x:f>IF(A34="","",IF(E34="Debit",MAX(0,I34),0))</x:f>
      </x:c>
      <x:c r="K34" s="12">
        <x:f>IF(A34="","",IF(E34="Credit",MAX(0,I34),0))</x:f>
      </x:c>
      <x:c r="L34" s="12">
        <x:f>IF(A34="","",COA_Master!R33)</x:f>
      </x:c>
      <x:c r="M34" s="12">
        <x:f>IF(A34="","",I34-L34)</x:f>
      </x:c>
      <x:c r="N34" s="19">
        <x:f>IF(A34="","",IF(ABS(I34-COA_Master!Q33)&lt;=0.01,"OK","CHECK"))</x:f>
      </x:c>
    </x:row>
    <x:row r="35">
      <x:c r="A35" s="18">
        <x:f>IF(COA_Master!A34="","",COA_Master!A34)</x:f>
      </x:c>
      <x:c r="B35" s="18">
        <x:f>IF(A35="","",COA_Master!C34)</x:f>
      </x:c>
      <x:c r="C35" s="18">
        <x:f>IF(A35="","",COA_Master!D34)</x:f>
      </x:c>
      <x:c r="D35" s="18">
        <x:f>IF(A35="","",COA_Master!F34)</x:f>
      </x:c>
      <x:c r="E35" s="18">
        <x:f>IF(A35="","",COA_Master!G34)</x:f>
      </x:c>
      <x:c r="F35" s="12">
        <x:f>IF(A35="","",COA_Master!N34)</x:f>
      </x:c>
      <x:c r="G35" s="12">
        <x:f>IF(A35="","",COA_Master!O34)</x:f>
      </x:c>
      <x:c r="H35" s="12">
        <x:f>IF(A35="","",COA_Master!P34)</x:f>
      </x:c>
      <x:c r="I35" s="12">
        <x:f>IF(A35="","",IF(E35="Debit",F35+G35-H35,F35-G35+H35))</x:f>
      </x:c>
      <x:c r="J35" s="12">
        <x:f>IF(A35="","",IF(E35="Debit",MAX(0,I35),0))</x:f>
      </x:c>
      <x:c r="K35" s="12">
        <x:f>IF(A35="","",IF(E35="Credit",MAX(0,I35),0))</x:f>
      </x:c>
      <x:c r="L35" s="12">
        <x:f>IF(A35="","",COA_Master!R34)</x:f>
      </x:c>
      <x:c r="M35" s="12">
        <x:f>IF(A35="","",I35-L35)</x:f>
      </x:c>
      <x:c r="N35" s="19">
        <x:f>IF(A35="","",IF(ABS(I35-COA_Master!Q34)&lt;=0.01,"OK","CHECK"))</x:f>
      </x:c>
    </x:row>
    <x:row r="36">
      <x:c r="A36" s="18">
        <x:f>IF(COA_Master!A35="","",COA_Master!A35)</x:f>
      </x:c>
      <x:c r="B36" s="18">
        <x:f>IF(A36="","",COA_Master!C35)</x:f>
      </x:c>
      <x:c r="C36" s="18">
        <x:f>IF(A36="","",COA_Master!D35)</x:f>
      </x:c>
      <x:c r="D36" s="18">
        <x:f>IF(A36="","",COA_Master!F35)</x:f>
      </x:c>
      <x:c r="E36" s="18">
        <x:f>IF(A36="","",COA_Master!G35)</x:f>
      </x:c>
      <x:c r="F36" s="12">
        <x:f>IF(A36="","",COA_Master!N35)</x:f>
      </x:c>
      <x:c r="G36" s="12">
        <x:f>IF(A36="","",COA_Master!O35)</x:f>
      </x:c>
      <x:c r="H36" s="12">
        <x:f>IF(A36="","",COA_Master!P35)</x:f>
      </x:c>
      <x:c r="I36" s="12">
        <x:f>IF(A36="","",IF(E36="Debit",F36+G36-H36,F36-G36+H36))</x:f>
      </x:c>
      <x:c r="J36" s="12">
        <x:f>IF(A36="","",IF(E36="Debit",MAX(0,I36),0))</x:f>
      </x:c>
      <x:c r="K36" s="12">
        <x:f>IF(A36="","",IF(E36="Credit",MAX(0,I36),0))</x:f>
      </x:c>
      <x:c r="L36" s="12">
        <x:f>IF(A36="","",COA_Master!R35)</x:f>
      </x:c>
      <x:c r="M36" s="12">
        <x:f>IF(A36="","",I36-L36)</x:f>
      </x:c>
      <x:c r="N36" s="19">
        <x:f>IF(A36="","",IF(ABS(I36-COA_Master!Q35)&lt;=0.01,"OK","CHECK"))</x:f>
      </x:c>
    </x:row>
    <x:row r="37">
      <x:c r="A37" s="18">
        <x:f>IF(COA_Master!A36="","",COA_Master!A36)</x:f>
      </x:c>
      <x:c r="B37" s="18">
        <x:f>IF(A37="","",COA_Master!C36)</x:f>
      </x:c>
      <x:c r="C37" s="18">
        <x:f>IF(A37="","",COA_Master!D36)</x:f>
      </x:c>
      <x:c r="D37" s="18">
        <x:f>IF(A37="","",COA_Master!F36)</x:f>
      </x:c>
      <x:c r="E37" s="18">
        <x:f>IF(A37="","",COA_Master!G36)</x:f>
      </x:c>
      <x:c r="F37" s="12">
        <x:f>IF(A37="","",COA_Master!N36)</x:f>
      </x:c>
      <x:c r="G37" s="12">
        <x:f>IF(A37="","",COA_Master!O36)</x:f>
      </x:c>
      <x:c r="H37" s="12">
        <x:f>IF(A37="","",COA_Master!P36)</x:f>
      </x:c>
      <x:c r="I37" s="12">
        <x:f>IF(A37="","",IF(E37="Debit",F37+G37-H37,F37-G37+H37))</x:f>
      </x:c>
      <x:c r="J37" s="12">
        <x:f>IF(A37="","",IF(E37="Debit",MAX(0,I37),0))</x:f>
      </x:c>
      <x:c r="K37" s="12">
        <x:f>IF(A37="","",IF(E37="Credit",MAX(0,I37),0))</x:f>
      </x:c>
      <x:c r="L37" s="12">
        <x:f>IF(A37="","",COA_Master!R36)</x:f>
      </x:c>
      <x:c r="M37" s="12">
        <x:f>IF(A37="","",I37-L37)</x:f>
      </x:c>
      <x:c r="N37" s="19">
        <x:f>IF(A37="","",IF(ABS(I37-COA_Master!Q36)&lt;=0.01,"OK","CHECK"))</x:f>
      </x:c>
    </x:row>
    <x:row r="38">
      <x:c r="A38" s="18">
        <x:f>IF(COA_Master!A37="","",COA_Master!A37)</x:f>
      </x:c>
      <x:c r="B38" s="18">
        <x:f>IF(A38="","",COA_Master!C37)</x:f>
      </x:c>
      <x:c r="C38" s="18">
        <x:f>IF(A38="","",COA_Master!D37)</x:f>
      </x:c>
      <x:c r="D38" s="18">
        <x:f>IF(A38="","",COA_Master!F37)</x:f>
      </x:c>
      <x:c r="E38" s="18">
        <x:f>IF(A38="","",COA_Master!G37)</x:f>
      </x:c>
      <x:c r="F38" s="12">
        <x:f>IF(A38="","",COA_Master!N37)</x:f>
      </x:c>
      <x:c r="G38" s="12">
        <x:f>IF(A38="","",COA_Master!O37)</x:f>
      </x:c>
      <x:c r="H38" s="12">
        <x:f>IF(A38="","",COA_Master!P37)</x:f>
      </x:c>
      <x:c r="I38" s="12">
        <x:f>IF(A38="","",IF(E38="Debit",F38+G38-H38,F38-G38+H38))</x:f>
      </x:c>
      <x:c r="J38" s="12">
        <x:f>IF(A38="","",IF(E38="Debit",MAX(0,I38),0))</x:f>
      </x:c>
      <x:c r="K38" s="12">
        <x:f>IF(A38="","",IF(E38="Credit",MAX(0,I38),0))</x:f>
      </x:c>
      <x:c r="L38" s="12">
        <x:f>IF(A38="","",COA_Master!R37)</x:f>
      </x:c>
      <x:c r="M38" s="12">
        <x:f>IF(A38="","",I38-L38)</x:f>
      </x:c>
      <x:c r="N38" s="19">
        <x:f>IF(A38="","",IF(ABS(I38-COA_Master!Q37)&lt;=0.01,"OK","CHECK"))</x:f>
      </x:c>
    </x:row>
    <x:row r="39">
      <x:c r="A39" s="18">
        <x:f>IF(COA_Master!A38="","",COA_Master!A38)</x:f>
      </x:c>
      <x:c r="B39" s="18">
        <x:f>IF(A39="","",COA_Master!C38)</x:f>
      </x:c>
      <x:c r="C39" s="18">
        <x:f>IF(A39="","",COA_Master!D38)</x:f>
      </x:c>
      <x:c r="D39" s="18">
        <x:f>IF(A39="","",COA_Master!F38)</x:f>
      </x:c>
      <x:c r="E39" s="18">
        <x:f>IF(A39="","",COA_Master!G38)</x:f>
      </x:c>
      <x:c r="F39" s="12">
        <x:f>IF(A39="","",COA_Master!N38)</x:f>
      </x:c>
      <x:c r="G39" s="12">
        <x:f>IF(A39="","",COA_Master!O38)</x:f>
      </x:c>
      <x:c r="H39" s="12">
        <x:f>IF(A39="","",COA_Master!P38)</x:f>
      </x:c>
      <x:c r="I39" s="12">
        <x:f>IF(A39="","",IF(E39="Debit",F39+G39-H39,F39-G39+H39))</x:f>
      </x:c>
      <x:c r="J39" s="12">
        <x:f>IF(A39="","",IF(E39="Debit",MAX(0,I39),0))</x:f>
      </x:c>
      <x:c r="K39" s="12">
        <x:f>IF(A39="","",IF(E39="Credit",MAX(0,I39),0))</x:f>
      </x:c>
      <x:c r="L39" s="12">
        <x:f>IF(A39="","",COA_Master!R38)</x:f>
      </x:c>
      <x:c r="M39" s="12">
        <x:f>IF(A39="","",I39-L39)</x:f>
      </x:c>
      <x:c r="N39" s="19">
        <x:f>IF(A39="","",IF(ABS(I39-COA_Master!Q38)&lt;=0.01,"OK","CHECK"))</x:f>
      </x:c>
    </x:row>
    <x:row r="40">
      <x:c r="A40" s="18">
        <x:f>IF(COA_Master!A39="","",COA_Master!A39)</x:f>
      </x:c>
      <x:c r="B40" s="18">
        <x:f>IF(A40="","",COA_Master!C39)</x:f>
      </x:c>
      <x:c r="C40" s="18">
        <x:f>IF(A40="","",COA_Master!D39)</x:f>
      </x:c>
      <x:c r="D40" s="18">
        <x:f>IF(A40="","",COA_Master!F39)</x:f>
      </x:c>
      <x:c r="E40" s="18">
        <x:f>IF(A40="","",COA_Master!G39)</x:f>
      </x:c>
      <x:c r="F40" s="12">
        <x:f>IF(A40="","",COA_Master!N39)</x:f>
      </x:c>
      <x:c r="G40" s="12">
        <x:f>IF(A40="","",COA_Master!O39)</x:f>
      </x:c>
      <x:c r="H40" s="12">
        <x:f>IF(A40="","",COA_Master!P39)</x:f>
      </x:c>
      <x:c r="I40" s="12">
        <x:f>IF(A40="","",IF(E40="Debit",F40+G40-H40,F40-G40+H40))</x:f>
      </x:c>
      <x:c r="J40" s="12">
        <x:f>IF(A40="","",IF(E40="Debit",MAX(0,I40),0))</x:f>
      </x:c>
      <x:c r="K40" s="12">
        <x:f>IF(A40="","",IF(E40="Credit",MAX(0,I40),0))</x:f>
      </x:c>
      <x:c r="L40" s="12">
        <x:f>IF(A40="","",COA_Master!R39)</x:f>
      </x:c>
      <x:c r="M40" s="12">
        <x:f>IF(A40="","",I40-L40)</x:f>
      </x:c>
      <x:c r="N40" s="19">
        <x:f>IF(A40="","",IF(ABS(I40-COA_Master!Q39)&lt;=0.01,"OK","CHECK"))</x:f>
      </x:c>
    </x:row>
    <x:row r="41">
      <x:c r="A41" s="18">
        <x:f>IF(COA_Master!A40="","",COA_Master!A40)</x:f>
      </x:c>
      <x:c r="B41" s="18">
        <x:f>IF(A41="","",COA_Master!C40)</x:f>
      </x:c>
      <x:c r="C41" s="18">
        <x:f>IF(A41="","",COA_Master!D40)</x:f>
      </x:c>
      <x:c r="D41" s="18">
        <x:f>IF(A41="","",COA_Master!F40)</x:f>
      </x:c>
      <x:c r="E41" s="18">
        <x:f>IF(A41="","",COA_Master!G40)</x:f>
      </x:c>
      <x:c r="F41" s="12">
        <x:f>IF(A41="","",COA_Master!N40)</x:f>
      </x:c>
      <x:c r="G41" s="12">
        <x:f>IF(A41="","",COA_Master!O40)</x:f>
      </x:c>
      <x:c r="H41" s="12">
        <x:f>IF(A41="","",COA_Master!P40)</x:f>
      </x:c>
      <x:c r="I41" s="12">
        <x:f>IF(A41="","",IF(E41="Debit",F41+G41-H41,F41-G41+H41))</x:f>
      </x:c>
      <x:c r="J41" s="12">
        <x:f>IF(A41="","",IF(E41="Debit",MAX(0,I41),0))</x:f>
      </x:c>
      <x:c r="K41" s="12">
        <x:f>IF(A41="","",IF(E41="Credit",MAX(0,I41),0))</x:f>
      </x:c>
      <x:c r="L41" s="12">
        <x:f>IF(A41="","",COA_Master!R40)</x:f>
      </x:c>
      <x:c r="M41" s="12">
        <x:f>IF(A41="","",I41-L41)</x:f>
      </x:c>
      <x:c r="N41" s="19">
        <x:f>IF(A41="","",IF(ABS(I41-COA_Master!Q40)&lt;=0.01,"OK","CHECK"))</x:f>
      </x:c>
    </x:row>
    <x:row r="42">
      <x:c r="A42" s="18">
        <x:f>IF(COA_Master!A41="","",COA_Master!A41)</x:f>
      </x:c>
      <x:c r="B42" s="18">
        <x:f>IF(A42="","",COA_Master!C41)</x:f>
      </x:c>
      <x:c r="C42" s="18">
        <x:f>IF(A42="","",COA_Master!D41)</x:f>
      </x:c>
      <x:c r="D42" s="18">
        <x:f>IF(A42="","",COA_Master!F41)</x:f>
      </x:c>
      <x:c r="E42" s="18">
        <x:f>IF(A42="","",COA_Master!G41)</x:f>
      </x:c>
      <x:c r="F42" s="12">
        <x:f>IF(A42="","",COA_Master!N41)</x:f>
      </x:c>
      <x:c r="G42" s="12">
        <x:f>IF(A42="","",COA_Master!O41)</x:f>
      </x:c>
      <x:c r="H42" s="12">
        <x:f>IF(A42="","",COA_Master!P41)</x:f>
      </x:c>
      <x:c r="I42" s="12">
        <x:f>IF(A42="","",IF(E42="Debit",F42+G42-H42,F42-G42+H42))</x:f>
      </x:c>
      <x:c r="J42" s="12">
        <x:f>IF(A42="","",IF(E42="Debit",MAX(0,I42),0))</x:f>
      </x:c>
      <x:c r="K42" s="12">
        <x:f>IF(A42="","",IF(E42="Credit",MAX(0,I42),0))</x:f>
      </x:c>
      <x:c r="L42" s="12">
        <x:f>IF(A42="","",COA_Master!R41)</x:f>
      </x:c>
      <x:c r="M42" s="12">
        <x:f>IF(A42="","",I42-L42)</x:f>
      </x:c>
      <x:c r="N42" s="19">
        <x:f>IF(A42="","",IF(ABS(I42-COA_Master!Q41)&lt;=0.01,"OK","CHECK"))</x:f>
      </x:c>
    </x:row>
    <x:row r="43">
      <x:c r="A43" s="18">
        <x:f>IF(COA_Master!A42="","",COA_Master!A42)</x:f>
      </x:c>
      <x:c r="B43" s="18">
        <x:f>IF(A43="","",COA_Master!C42)</x:f>
      </x:c>
      <x:c r="C43" s="18">
        <x:f>IF(A43="","",COA_Master!D42)</x:f>
      </x:c>
      <x:c r="D43" s="18">
        <x:f>IF(A43="","",COA_Master!F42)</x:f>
      </x:c>
      <x:c r="E43" s="18">
        <x:f>IF(A43="","",COA_Master!G42)</x:f>
      </x:c>
      <x:c r="F43" s="12">
        <x:f>IF(A43="","",COA_Master!N42)</x:f>
      </x:c>
      <x:c r="G43" s="12">
        <x:f>IF(A43="","",COA_Master!O42)</x:f>
      </x:c>
      <x:c r="H43" s="12">
        <x:f>IF(A43="","",COA_Master!P42)</x:f>
      </x:c>
      <x:c r="I43" s="12">
        <x:f>IF(A43="","",IF(E43="Debit",F43+G43-H43,F43-G43+H43))</x:f>
      </x:c>
      <x:c r="J43" s="12">
        <x:f>IF(A43="","",IF(E43="Debit",MAX(0,I43),0))</x:f>
      </x:c>
      <x:c r="K43" s="12">
        <x:f>IF(A43="","",IF(E43="Credit",MAX(0,I43),0))</x:f>
      </x:c>
      <x:c r="L43" s="12">
        <x:f>IF(A43="","",COA_Master!R42)</x:f>
      </x:c>
      <x:c r="M43" s="12">
        <x:f>IF(A43="","",I43-L43)</x:f>
      </x:c>
      <x:c r="N43" s="19">
        <x:f>IF(A43="","",IF(ABS(I43-COA_Master!Q42)&lt;=0.01,"OK","CHECK"))</x:f>
      </x:c>
    </x:row>
    <x:row r="44">
      <x:c r="A44" s="18">
        <x:f>IF(COA_Master!A43="","",COA_Master!A43)</x:f>
      </x:c>
      <x:c r="B44" s="18">
        <x:f>IF(A44="","",COA_Master!C43)</x:f>
      </x:c>
      <x:c r="C44" s="18">
        <x:f>IF(A44="","",COA_Master!D43)</x:f>
      </x:c>
      <x:c r="D44" s="18">
        <x:f>IF(A44="","",COA_Master!F43)</x:f>
      </x:c>
      <x:c r="E44" s="18">
        <x:f>IF(A44="","",COA_Master!G43)</x:f>
      </x:c>
      <x:c r="F44" s="12">
        <x:f>IF(A44="","",COA_Master!N43)</x:f>
      </x:c>
      <x:c r="G44" s="12">
        <x:f>IF(A44="","",COA_Master!O43)</x:f>
      </x:c>
      <x:c r="H44" s="12">
        <x:f>IF(A44="","",COA_Master!P43)</x:f>
      </x:c>
      <x:c r="I44" s="12">
        <x:f>IF(A44="","",IF(E44="Debit",F44+G44-H44,F44-G44+H44))</x:f>
      </x:c>
      <x:c r="J44" s="12">
        <x:f>IF(A44="","",IF(E44="Debit",MAX(0,I44),0))</x:f>
      </x:c>
      <x:c r="K44" s="12">
        <x:f>IF(A44="","",IF(E44="Credit",MAX(0,I44),0))</x:f>
      </x:c>
      <x:c r="L44" s="12">
        <x:f>IF(A44="","",COA_Master!R43)</x:f>
      </x:c>
      <x:c r="M44" s="12">
        <x:f>IF(A44="","",I44-L44)</x:f>
      </x:c>
      <x:c r="N44" s="19">
        <x:f>IF(A44="","",IF(ABS(I44-COA_Master!Q43)&lt;=0.01,"OK","CHECK"))</x:f>
      </x:c>
    </x:row>
    <x:row r="45">
      <x:c r="A45" s="18">
        <x:f>IF(COA_Master!A44="","",COA_Master!A44)</x:f>
      </x:c>
      <x:c r="B45" s="18">
        <x:f>IF(A45="","",COA_Master!C44)</x:f>
      </x:c>
      <x:c r="C45" s="18">
        <x:f>IF(A45="","",COA_Master!D44)</x:f>
      </x:c>
      <x:c r="D45" s="18">
        <x:f>IF(A45="","",COA_Master!F44)</x:f>
      </x:c>
      <x:c r="E45" s="18">
        <x:f>IF(A45="","",COA_Master!G44)</x:f>
      </x:c>
      <x:c r="F45" s="12">
        <x:f>IF(A45="","",COA_Master!N44)</x:f>
      </x:c>
      <x:c r="G45" s="12">
        <x:f>IF(A45="","",COA_Master!O44)</x:f>
      </x:c>
      <x:c r="H45" s="12">
        <x:f>IF(A45="","",COA_Master!P44)</x:f>
      </x:c>
      <x:c r="I45" s="12">
        <x:f>IF(A45="","",IF(E45="Debit",F45+G45-H45,F45-G45+H45))</x:f>
      </x:c>
      <x:c r="J45" s="12">
        <x:f>IF(A45="","",IF(E45="Debit",MAX(0,I45),0))</x:f>
      </x:c>
      <x:c r="K45" s="12">
        <x:f>IF(A45="","",IF(E45="Credit",MAX(0,I45),0))</x:f>
      </x:c>
      <x:c r="L45" s="12">
        <x:f>IF(A45="","",COA_Master!R44)</x:f>
      </x:c>
      <x:c r="M45" s="12">
        <x:f>IF(A45="","",I45-L45)</x:f>
      </x:c>
      <x:c r="N45" s="19">
        <x:f>IF(A45="","",IF(ABS(I45-COA_Master!Q44)&lt;=0.01,"OK","CHECK"))</x:f>
      </x:c>
    </x:row>
    <x:row r="46">
      <x:c r="A46" s="18">
        <x:f>IF(COA_Master!A45="","",COA_Master!A45)</x:f>
      </x:c>
      <x:c r="B46" s="18">
        <x:f>IF(A46="","",COA_Master!C45)</x:f>
      </x:c>
      <x:c r="C46" s="18">
        <x:f>IF(A46="","",COA_Master!D45)</x:f>
      </x:c>
      <x:c r="D46" s="18">
        <x:f>IF(A46="","",COA_Master!F45)</x:f>
      </x:c>
      <x:c r="E46" s="18">
        <x:f>IF(A46="","",COA_Master!G45)</x:f>
      </x:c>
      <x:c r="F46" s="12">
        <x:f>IF(A46="","",COA_Master!N45)</x:f>
      </x:c>
      <x:c r="G46" s="12">
        <x:f>IF(A46="","",COA_Master!O45)</x:f>
      </x:c>
      <x:c r="H46" s="12">
        <x:f>IF(A46="","",COA_Master!P45)</x:f>
      </x:c>
      <x:c r="I46" s="12">
        <x:f>IF(A46="","",IF(E46="Debit",F46+G46-H46,F46-G46+H46))</x:f>
      </x:c>
      <x:c r="J46" s="12">
        <x:f>IF(A46="","",IF(E46="Debit",MAX(0,I46),0))</x:f>
      </x:c>
      <x:c r="K46" s="12">
        <x:f>IF(A46="","",IF(E46="Credit",MAX(0,I46),0))</x:f>
      </x:c>
      <x:c r="L46" s="12">
        <x:f>IF(A46="","",COA_Master!R45)</x:f>
      </x:c>
      <x:c r="M46" s="12">
        <x:f>IF(A46="","",I46-L46)</x:f>
      </x:c>
      <x:c r="N46" s="19">
        <x:f>IF(A46="","",IF(ABS(I46-COA_Master!Q45)&lt;=0.01,"OK","CHECK"))</x:f>
      </x:c>
    </x:row>
    <x:row r="47">
      <x:c r="A47" s="18">
        <x:f>IF(COA_Master!A46="","",COA_Master!A46)</x:f>
      </x:c>
      <x:c r="B47" s="18">
        <x:f>IF(A47="","",COA_Master!C46)</x:f>
      </x:c>
      <x:c r="C47" s="18">
        <x:f>IF(A47="","",COA_Master!D46)</x:f>
      </x:c>
      <x:c r="D47" s="18">
        <x:f>IF(A47="","",COA_Master!F46)</x:f>
      </x:c>
      <x:c r="E47" s="18">
        <x:f>IF(A47="","",COA_Master!G46)</x:f>
      </x:c>
      <x:c r="F47" s="12">
        <x:f>IF(A47="","",COA_Master!N46)</x:f>
      </x:c>
      <x:c r="G47" s="12">
        <x:f>IF(A47="","",COA_Master!O46)</x:f>
      </x:c>
      <x:c r="H47" s="12">
        <x:f>IF(A47="","",COA_Master!P46)</x:f>
      </x:c>
      <x:c r="I47" s="12">
        <x:f>IF(A47="","",IF(E47="Debit",F47+G47-H47,F47-G47+H47))</x:f>
      </x:c>
      <x:c r="J47" s="12">
        <x:f>IF(A47="","",IF(E47="Debit",MAX(0,I47),0))</x:f>
      </x:c>
      <x:c r="K47" s="12">
        <x:f>IF(A47="","",IF(E47="Credit",MAX(0,I47),0))</x:f>
      </x:c>
      <x:c r="L47" s="12">
        <x:f>IF(A47="","",COA_Master!R46)</x:f>
      </x:c>
      <x:c r="M47" s="12">
        <x:f>IF(A47="","",I47-L47)</x:f>
      </x:c>
      <x:c r="N47" s="19">
        <x:f>IF(A47="","",IF(ABS(I47-COA_Master!Q46)&lt;=0.01,"OK","CHECK"))</x:f>
      </x:c>
    </x:row>
    <x:row r="48">
      <x:c r="A48" s="18">
        <x:f>IF(COA_Master!A47="","",COA_Master!A47)</x:f>
      </x:c>
      <x:c r="B48" s="18">
        <x:f>IF(A48="","",COA_Master!C47)</x:f>
      </x:c>
      <x:c r="C48" s="18">
        <x:f>IF(A48="","",COA_Master!D47)</x:f>
      </x:c>
      <x:c r="D48" s="18">
        <x:f>IF(A48="","",COA_Master!F47)</x:f>
      </x:c>
      <x:c r="E48" s="18">
        <x:f>IF(A48="","",COA_Master!G47)</x:f>
      </x:c>
      <x:c r="F48" s="12">
        <x:f>IF(A48="","",COA_Master!N47)</x:f>
      </x:c>
      <x:c r="G48" s="12">
        <x:f>IF(A48="","",COA_Master!O47)</x:f>
      </x:c>
      <x:c r="H48" s="12">
        <x:f>IF(A48="","",COA_Master!P47)</x:f>
      </x:c>
      <x:c r="I48" s="12">
        <x:f>IF(A48="","",IF(E48="Debit",F48+G48-H48,F48-G48+H48))</x:f>
      </x:c>
      <x:c r="J48" s="12">
        <x:f>IF(A48="","",IF(E48="Debit",MAX(0,I48),0))</x:f>
      </x:c>
      <x:c r="K48" s="12">
        <x:f>IF(A48="","",IF(E48="Credit",MAX(0,I48),0))</x:f>
      </x:c>
      <x:c r="L48" s="12">
        <x:f>IF(A48="","",COA_Master!R47)</x:f>
      </x:c>
      <x:c r="M48" s="12">
        <x:f>IF(A48="","",I48-L48)</x:f>
      </x:c>
      <x:c r="N48" s="19">
        <x:f>IF(A48="","",IF(ABS(I48-COA_Master!Q47)&lt;=0.01,"OK","CHECK"))</x:f>
      </x:c>
    </x:row>
    <x:row r="49">
      <x:c r="A49" s="18">
        <x:f>IF(COA_Master!A48="","",COA_Master!A48)</x:f>
      </x:c>
      <x:c r="B49" s="18">
        <x:f>IF(A49="","",COA_Master!C48)</x:f>
      </x:c>
      <x:c r="C49" s="18">
        <x:f>IF(A49="","",COA_Master!D48)</x:f>
      </x:c>
      <x:c r="D49" s="18">
        <x:f>IF(A49="","",COA_Master!F48)</x:f>
      </x:c>
      <x:c r="E49" s="18">
        <x:f>IF(A49="","",COA_Master!G48)</x:f>
      </x:c>
      <x:c r="F49" s="12">
        <x:f>IF(A49="","",COA_Master!N48)</x:f>
      </x:c>
      <x:c r="G49" s="12">
        <x:f>IF(A49="","",COA_Master!O48)</x:f>
      </x:c>
      <x:c r="H49" s="12">
        <x:f>IF(A49="","",COA_Master!P48)</x:f>
      </x:c>
      <x:c r="I49" s="12">
        <x:f>IF(A49="","",IF(E49="Debit",F49+G49-H49,F49-G49+H49))</x:f>
      </x:c>
      <x:c r="J49" s="12">
        <x:f>IF(A49="","",IF(E49="Debit",MAX(0,I49),0))</x:f>
      </x:c>
      <x:c r="K49" s="12">
        <x:f>IF(A49="","",IF(E49="Credit",MAX(0,I49),0))</x:f>
      </x:c>
      <x:c r="L49" s="12">
        <x:f>IF(A49="","",COA_Master!R48)</x:f>
      </x:c>
      <x:c r="M49" s="12">
        <x:f>IF(A49="","",I49-L49)</x:f>
      </x:c>
      <x:c r="N49" s="19">
        <x:f>IF(A49="","",IF(ABS(I49-COA_Master!Q48)&lt;=0.01,"OK","CHECK"))</x:f>
      </x:c>
    </x:row>
    <x:row r="50">
      <x:c r="A50" s="18">
        <x:f>IF(COA_Master!A49="","",COA_Master!A49)</x:f>
      </x:c>
      <x:c r="B50" s="18">
        <x:f>IF(A50="","",COA_Master!C49)</x:f>
      </x:c>
      <x:c r="C50" s="18">
        <x:f>IF(A50="","",COA_Master!D49)</x:f>
      </x:c>
      <x:c r="D50" s="18">
        <x:f>IF(A50="","",COA_Master!F49)</x:f>
      </x:c>
      <x:c r="E50" s="18">
        <x:f>IF(A50="","",COA_Master!G49)</x:f>
      </x:c>
      <x:c r="F50" s="12">
        <x:f>IF(A50="","",COA_Master!N49)</x:f>
      </x:c>
      <x:c r="G50" s="12">
        <x:f>IF(A50="","",COA_Master!O49)</x:f>
      </x:c>
      <x:c r="H50" s="12">
        <x:f>IF(A50="","",COA_Master!P49)</x:f>
      </x:c>
      <x:c r="I50" s="12">
        <x:f>IF(A50="","",IF(E50="Debit",F50+G50-H50,F50-G50+H50))</x:f>
      </x:c>
      <x:c r="J50" s="12">
        <x:f>IF(A50="","",IF(E50="Debit",MAX(0,I50),0))</x:f>
      </x:c>
      <x:c r="K50" s="12">
        <x:f>IF(A50="","",IF(E50="Credit",MAX(0,I50),0))</x:f>
      </x:c>
      <x:c r="L50" s="12">
        <x:f>IF(A50="","",COA_Master!R49)</x:f>
      </x:c>
      <x:c r="M50" s="12">
        <x:f>IF(A50="","",I50-L50)</x:f>
      </x:c>
      <x:c r="N50" s="19">
        <x:f>IF(A50="","",IF(ABS(I50-COA_Master!Q49)&lt;=0.01,"OK","CHECK"))</x:f>
      </x:c>
    </x:row>
    <x:row r="51">
      <x:c r="A51" s="18">
        <x:f>IF(COA_Master!A50="","",COA_Master!A50)</x:f>
      </x:c>
      <x:c r="B51" s="18">
        <x:f>IF(A51="","",COA_Master!C50)</x:f>
      </x:c>
      <x:c r="C51" s="18">
        <x:f>IF(A51="","",COA_Master!D50)</x:f>
      </x:c>
      <x:c r="D51" s="18">
        <x:f>IF(A51="","",COA_Master!F50)</x:f>
      </x:c>
      <x:c r="E51" s="18">
        <x:f>IF(A51="","",COA_Master!G50)</x:f>
      </x:c>
      <x:c r="F51" s="12">
        <x:f>IF(A51="","",COA_Master!N50)</x:f>
      </x:c>
      <x:c r="G51" s="12">
        <x:f>IF(A51="","",COA_Master!O50)</x:f>
      </x:c>
      <x:c r="H51" s="12">
        <x:f>IF(A51="","",COA_Master!P50)</x:f>
      </x:c>
      <x:c r="I51" s="12">
        <x:f>IF(A51="","",IF(E51="Debit",F51+G51-H51,F51-G51+H51))</x:f>
      </x:c>
      <x:c r="J51" s="12">
        <x:f>IF(A51="","",IF(E51="Debit",MAX(0,I51),0))</x:f>
      </x:c>
      <x:c r="K51" s="12">
        <x:f>IF(A51="","",IF(E51="Credit",MAX(0,I51),0))</x:f>
      </x:c>
      <x:c r="L51" s="12">
        <x:f>IF(A51="","",COA_Master!R50)</x:f>
      </x:c>
      <x:c r="M51" s="12">
        <x:f>IF(A51="","",I51-L51)</x:f>
      </x:c>
      <x:c r="N51" s="19">
        <x:f>IF(A51="","",IF(ABS(I51-COA_Master!Q50)&lt;=0.01,"OK","CHECK"))</x:f>
      </x:c>
    </x:row>
    <x:row r="52">
      <x:c r="A52" s="18">
        <x:f>IF(COA_Master!A51="","",COA_Master!A51)</x:f>
      </x:c>
      <x:c r="B52" s="18">
        <x:f>IF(A52="","",COA_Master!C51)</x:f>
      </x:c>
      <x:c r="C52" s="18">
        <x:f>IF(A52="","",COA_Master!D51)</x:f>
      </x:c>
      <x:c r="D52" s="18">
        <x:f>IF(A52="","",COA_Master!F51)</x:f>
      </x:c>
      <x:c r="E52" s="18">
        <x:f>IF(A52="","",COA_Master!G51)</x:f>
      </x:c>
      <x:c r="F52" s="12">
        <x:f>IF(A52="","",COA_Master!N51)</x:f>
      </x:c>
      <x:c r="G52" s="12">
        <x:f>IF(A52="","",COA_Master!O51)</x:f>
      </x:c>
      <x:c r="H52" s="12">
        <x:f>IF(A52="","",COA_Master!P51)</x:f>
      </x:c>
      <x:c r="I52" s="12">
        <x:f>IF(A52="","",IF(E52="Debit",F52+G52-H52,F52-G52+H52))</x:f>
      </x:c>
      <x:c r="J52" s="12">
        <x:f>IF(A52="","",IF(E52="Debit",MAX(0,I52),0))</x:f>
      </x:c>
      <x:c r="K52" s="12">
        <x:f>IF(A52="","",IF(E52="Credit",MAX(0,I52),0))</x:f>
      </x:c>
      <x:c r="L52" s="12">
        <x:f>IF(A52="","",COA_Master!R51)</x:f>
      </x:c>
      <x:c r="M52" s="12">
        <x:f>IF(A52="","",I52-L52)</x:f>
      </x:c>
      <x:c r="N52" s="19">
        <x:f>IF(A52="","",IF(ABS(I52-COA_Master!Q51)&lt;=0.01,"OK","CHECK"))</x:f>
      </x:c>
    </x:row>
    <x:row r="53">
      <x:c r="A53" s="18">
        <x:f>IF(COA_Master!A52="","",COA_Master!A52)</x:f>
      </x:c>
      <x:c r="B53" s="18">
        <x:f>IF(A53="","",COA_Master!C52)</x:f>
      </x:c>
      <x:c r="C53" s="18">
        <x:f>IF(A53="","",COA_Master!D52)</x:f>
      </x:c>
      <x:c r="D53" s="18">
        <x:f>IF(A53="","",COA_Master!F52)</x:f>
      </x:c>
      <x:c r="E53" s="18">
        <x:f>IF(A53="","",COA_Master!G52)</x:f>
      </x:c>
      <x:c r="F53" s="12">
        <x:f>IF(A53="","",COA_Master!N52)</x:f>
      </x:c>
      <x:c r="G53" s="12">
        <x:f>IF(A53="","",COA_Master!O52)</x:f>
      </x:c>
      <x:c r="H53" s="12">
        <x:f>IF(A53="","",COA_Master!P52)</x:f>
      </x:c>
      <x:c r="I53" s="12">
        <x:f>IF(A53="","",IF(E53="Debit",F53+G53-H53,F53-G53+H53))</x:f>
      </x:c>
      <x:c r="J53" s="12">
        <x:f>IF(A53="","",IF(E53="Debit",MAX(0,I53),0))</x:f>
      </x:c>
      <x:c r="K53" s="12">
        <x:f>IF(A53="","",IF(E53="Credit",MAX(0,I53),0))</x:f>
      </x:c>
      <x:c r="L53" s="12">
        <x:f>IF(A53="","",COA_Master!R52)</x:f>
      </x:c>
      <x:c r="M53" s="12">
        <x:f>IF(A53="","",I53-L53)</x:f>
      </x:c>
      <x:c r="N53" s="19">
        <x:f>IF(A53="","",IF(ABS(I53-COA_Master!Q52)&lt;=0.01,"OK","CHECK"))</x:f>
      </x:c>
    </x:row>
    <x:row r="54">
      <x:c r="A54" s="18">
        <x:f>IF(COA_Master!A53="","",COA_Master!A53)</x:f>
      </x:c>
      <x:c r="B54" s="18">
        <x:f>IF(A54="","",COA_Master!C53)</x:f>
      </x:c>
      <x:c r="C54" s="18">
        <x:f>IF(A54="","",COA_Master!D53)</x:f>
      </x:c>
      <x:c r="D54" s="18">
        <x:f>IF(A54="","",COA_Master!F53)</x:f>
      </x:c>
      <x:c r="E54" s="18">
        <x:f>IF(A54="","",COA_Master!G53)</x:f>
      </x:c>
      <x:c r="F54" s="12">
        <x:f>IF(A54="","",COA_Master!N53)</x:f>
      </x:c>
      <x:c r="G54" s="12">
        <x:f>IF(A54="","",COA_Master!O53)</x:f>
      </x:c>
      <x:c r="H54" s="12">
        <x:f>IF(A54="","",COA_Master!P53)</x:f>
      </x:c>
      <x:c r="I54" s="12">
        <x:f>IF(A54="","",IF(E54="Debit",F54+G54-H54,F54-G54+H54))</x:f>
      </x:c>
      <x:c r="J54" s="12">
        <x:f>IF(A54="","",IF(E54="Debit",MAX(0,I54),0))</x:f>
      </x:c>
      <x:c r="K54" s="12">
        <x:f>IF(A54="","",IF(E54="Credit",MAX(0,I54),0))</x:f>
      </x:c>
      <x:c r="L54" s="12">
        <x:f>IF(A54="","",COA_Master!R53)</x:f>
      </x:c>
      <x:c r="M54" s="12">
        <x:f>IF(A54="","",I54-L54)</x:f>
      </x:c>
      <x:c r="N54" s="19">
        <x:f>IF(A54="","",IF(ABS(I54-COA_Master!Q53)&lt;=0.01,"OK","CHECK"))</x:f>
      </x:c>
    </x:row>
    <x:row r="55">
      <x:c r="A55" s="18">
        <x:f>IF(COA_Master!A54="","",COA_Master!A54)</x:f>
      </x:c>
      <x:c r="B55" s="18">
        <x:f>IF(A55="","",COA_Master!C54)</x:f>
      </x:c>
      <x:c r="C55" s="18">
        <x:f>IF(A55="","",COA_Master!D54)</x:f>
      </x:c>
      <x:c r="D55" s="18">
        <x:f>IF(A55="","",COA_Master!F54)</x:f>
      </x:c>
      <x:c r="E55" s="18">
        <x:f>IF(A55="","",COA_Master!G54)</x:f>
      </x:c>
      <x:c r="F55" s="12">
        <x:f>IF(A55="","",COA_Master!N54)</x:f>
      </x:c>
      <x:c r="G55" s="12">
        <x:f>IF(A55="","",COA_Master!O54)</x:f>
      </x:c>
      <x:c r="H55" s="12">
        <x:f>IF(A55="","",COA_Master!P54)</x:f>
      </x:c>
      <x:c r="I55" s="12">
        <x:f>IF(A55="","",IF(E55="Debit",F55+G55-H55,F55-G55+H55))</x:f>
      </x:c>
      <x:c r="J55" s="12">
        <x:f>IF(A55="","",IF(E55="Debit",MAX(0,I55),0))</x:f>
      </x:c>
      <x:c r="K55" s="12">
        <x:f>IF(A55="","",IF(E55="Credit",MAX(0,I55),0))</x:f>
      </x:c>
      <x:c r="L55" s="12">
        <x:f>IF(A55="","",COA_Master!R54)</x:f>
      </x:c>
      <x:c r="M55" s="12">
        <x:f>IF(A55="","",I55-L55)</x:f>
      </x:c>
      <x:c r="N55" s="19">
        <x:f>IF(A55="","",IF(ABS(I55-COA_Master!Q54)&lt;=0.01,"OK","CHECK"))</x:f>
      </x:c>
    </x:row>
    <x:row r="56">
      <x:c r="A56" s="18">
        <x:f>IF(COA_Master!A55="","",COA_Master!A55)</x:f>
      </x:c>
      <x:c r="B56" s="18">
        <x:f>IF(A56="","",COA_Master!C55)</x:f>
      </x:c>
      <x:c r="C56" s="18">
        <x:f>IF(A56="","",COA_Master!D55)</x:f>
      </x:c>
      <x:c r="D56" s="18">
        <x:f>IF(A56="","",COA_Master!F55)</x:f>
      </x:c>
      <x:c r="E56" s="18">
        <x:f>IF(A56="","",COA_Master!G55)</x:f>
      </x:c>
      <x:c r="F56" s="12">
        <x:f>IF(A56="","",COA_Master!N55)</x:f>
      </x:c>
      <x:c r="G56" s="12">
        <x:f>IF(A56="","",COA_Master!O55)</x:f>
      </x:c>
      <x:c r="H56" s="12">
        <x:f>IF(A56="","",COA_Master!P55)</x:f>
      </x:c>
      <x:c r="I56" s="12">
        <x:f>IF(A56="","",IF(E56="Debit",F56+G56-H56,F56-G56+H56))</x:f>
      </x:c>
      <x:c r="J56" s="12">
        <x:f>IF(A56="","",IF(E56="Debit",MAX(0,I56),0))</x:f>
      </x:c>
      <x:c r="K56" s="12">
        <x:f>IF(A56="","",IF(E56="Credit",MAX(0,I56),0))</x:f>
      </x:c>
      <x:c r="L56" s="12">
        <x:f>IF(A56="","",COA_Master!R55)</x:f>
      </x:c>
      <x:c r="M56" s="12">
        <x:f>IF(A56="","",I56-L56)</x:f>
      </x:c>
      <x:c r="N56" s="19">
        <x:f>IF(A56="","",IF(ABS(I56-COA_Master!Q55)&lt;=0.01,"OK","CHECK"))</x:f>
      </x:c>
    </x:row>
    <x:row r="57">
      <x:c r="A57" s="18">
        <x:f>IF(COA_Master!A56="","",COA_Master!A56)</x:f>
      </x:c>
      <x:c r="B57" s="18">
        <x:f>IF(A57="","",COA_Master!C56)</x:f>
      </x:c>
      <x:c r="C57" s="18">
        <x:f>IF(A57="","",COA_Master!D56)</x:f>
      </x:c>
      <x:c r="D57" s="18">
        <x:f>IF(A57="","",COA_Master!F56)</x:f>
      </x:c>
      <x:c r="E57" s="18">
        <x:f>IF(A57="","",COA_Master!G56)</x:f>
      </x:c>
      <x:c r="F57" s="12">
        <x:f>IF(A57="","",COA_Master!N56)</x:f>
      </x:c>
      <x:c r="G57" s="12">
        <x:f>IF(A57="","",COA_Master!O56)</x:f>
      </x:c>
      <x:c r="H57" s="12">
        <x:f>IF(A57="","",COA_Master!P56)</x:f>
      </x:c>
      <x:c r="I57" s="12">
        <x:f>IF(A57="","",IF(E57="Debit",F57+G57-H57,F57-G57+H57))</x:f>
      </x:c>
      <x:c r="J57" s="12">
        <x:f>IF(A57="","",IF(E57="Debit",MAX(0,I57),0))</x:f>
      </x:c>
      <x:c r="K57" s="12">
        <x:f>IF(A57="","",IF(E57="Credit",MAX(0,I57),0))</x:f>
      </x:c>
      <x:c r="L57" s="12">
        <x:f>IF(A57="","",COA_Master!R56)</x:f>
      </x:c>
      <x:c r="M57" s="12">
        <x:f>IF(A57="","",I57-L57)</x:f>
      </x:c>
      <x:c r="N57" s="19">
        <x:f>IF(A57="","",IF(ABS(I57-COA_Master!Q56)&lt;=0.01,"OK","CHECK"))</x:f>
      </x:c>
    </x:row>
    <x:row r="58">
      <x:c r="A58" s="18">
        <x:f>IF(COA_Master!A57="","",COA_Master!A57)</x:f>
      </x:c>
      <x:c r="B58" s="18">
        <x:f>IF(A58="","",COA_Master!C57)</x:f>
      </x:c>
      <x:c r="C58" s="18">
        <x:f>IF(A58="","",COA_Master!D57)</x:f>
      </x:c>
      <x:c r="D58" s="18">
        <x:f>IF(A58="","",COA_Master!F57)</x:f>
      </x:c>
      <x:c r="E58" s="18">
        <x:f>IF(A58="","",COA_Master!G57)</x:f>
      </x:c>
      <x:c r="F58" s="12">
        <x:f>IF(A58="","",COA_Master!N57)</x:f>
      </x:c>
      <x:c r="G58" s="12">
        <x:f>IF(A58="","",COA_Master!O57)</x:f>
      </x:c>
      <x:c r="H58" s="12">
        <x:f>IF(A58="","",COA_Master!P57)</x:f>
      </x:c>
      <x:c r="I58" s="12">
        <x:f>IF(A58="","",IF(E58="Debit",F58+G58-H58,F58-G58+H58))</x:f>
      </x:c>
      <x:c r="J58" s="12">
        <x:f>IF(A58="","",IF(E58="Debit",MAX(0,I58),0))</x:f>
      </x:c>
      <x:c r="K58" s="12">
        <x:f>IF(A58="","",IF(E58="Credit",MAX(0,I58),0))</x:f>
      </x:c>
      <x:c r="L58" s="12">
        <x:f>IF(A58="","",COA_Master!R57)</x:f>
      </x:c>
      <x:c r="M58" s="12">
        <x:f>IF(A58="","",I58-L58)</x:f>
      </x:c>
      <x:c r="N58" s="19">
        <x:f>IF(A58="","",IF(ABS(I58-COA_Master!Q57)&lt;=0.01,"OK","CHECK"))</x:f>
      </x:c>
    </x:row>
    <x:row r="59">
      <x:c r="A59" s="18">
        <x:f>IF(COA_Master!A58="","",COA_Master!A58)</x:f>
      </x:c>
      <x:c r="B59" s="18">
        <x:f>IF(A59="","",COA_Master!C58)</x:f>
      </x:c>
      <x:c r="C59" s="18">
        <x:f>IF(A59="","",COA_Master!D58)</x:f>
      </x:c>
      <x:c r="D59" s="18">
        <x:f>IF(A59="","",COA_Master!F58)</x:f>
      </x:c>
      <x:c r="E59" s="18">
        <x:f>IF(A59="","",COA_Master!G58)</x:f>
      </x:c>
      <x:c r="F59" s="12">
        <x:f>IF(A59="","",COA_Master!N58)</x:f>
      </x:c>
      <x:c r="G59" s="12">
        <x:f>IF(A59="","",COA_Master!O58)</x:f>
      </x:c>
      <x:c r="H59" s="12">
        <x:f>IF(A59="","",COA_Master!P58)</x:f>
      </x:c>
      <x:c r="I59" s="12">
        <x:f>IF(A59="","",IF(E59="Debit",F59+G59-H59,F59-G59+H59))</x:f>
      </x:c>
      <x:c r="J59" s="12">
        <x:f>IF(A59="","",IF(E59="Debit",MAX(0,I59),0))</x:f>
      </x:c>
      <x:c r="K59" s="12">
        <x:f>IF(A59="","",IF(E59="Credit",MAX(0,I59),0))</x:f>
      </x:c>
      <x:c r="L59" s="12">
        <x:f>IF(A59="","",COA_Master!R58)</x:f>
      </x:c>
      <x:c r="M59" s="12">
        <x:f>IF(A59="","",I59-L59)</x:f>
      </x:c>
      <x:c r="N59" s="19">
        <x:f>IF(A59="","",IF(ABS(I59-COA_Master!Q58)&lt;=0.01,"OK","CHECK"))</x:f>
      </x:c>
    </x:row>
    <x:row r="60">
      <x:c r="A60" s="18">
        <x:f>IF(COA_Master!A59="","",COA_Master!A59)</x:f>
      </x:c>
      <x:c r="B60" s="18">
        <x:f>IF(A60="","",COA_Master!C59)</x:f>
      </x:c>
      <x:c r="C60" s="18">
        <x:f>IF(A60="","",COA_Master!D59)</x:f>
      </x:c>
      <x:c r="D60" s="18">
        <x:f>IF(A60="","",COA_Master!F59)</x:f>
      </x:c>
      <x:c r="E60" s="18">
        <x:f>IF(A60="","",COA_Master!G59)</x:f>
      </x:c>
      <x:c r="F60" s="12">
        <x:f>IF(A60="","",COA_Master!N59)</x:f>
      </x:c>
      <x:c r="G60" s="12">
        <x:f>IF(A60="","",COA_Master!O59)</x:f>
      </x:c>
      <x:c r="H60" s="12">
        <x:f>IF(A60="","",COA_Master!P59)</x:f>
      </x:c>
      <x:c r="I60" s="12">
        <x:f>IF(A60="","",IF(E60="Debit",F60+G60-H60,F60-G60+H60))</x:f>
      </x:c>
      <x:c r="J60" s="12">
        <x:f>IF(A60="","",IF(E60="Debit",MAX(0,I60),0))</x:f>
      </x:c>
      <x:c r="K60" s="12">
        <x:f>IF(A60="","",IF(E60="Credit",MAX(0,I60),0))</x:f>
      </x:c>
      <x:c r="L60" s="12">
        <x:f>IF(A60="","",COA_Master!R59)</x:f>
      </x:c>
      <x:c r="M60" s="12">
        <x:f>IF(A60="","",I60-L60)</x:f>
      </x:c>
      <x:c r="N60" s="19">
        <x:f>IF(A60="","",IF(ABS(I60-COA_Master!Q59)&lt;=0.01,"OK","CHECK"))</x:f>
      </x:c>
    </x:row>
    <x:row r="61">
      <x:c r="A61" s="18">
        <x:f>IF(COA_Master!A60="","",COA_Master!A60)</x:f>
      </x:c>
      <x:c r="B61" s="18">
        <x:f>IF(A61="","",COA_Master!C60)</x:f>
      </x:c>
      <x:c r="C61" s="18">
        <x:f>IF(A61="","",COA_Master!D60)</x:f>
      </x:c>
      <x:c r="D61" s="18">
        <x:f>IF(A61="","",COA_Master!F60)</x:f>
      </x:c>
      <x:c r="E61" s="18">
        <x:f>IF(A61="","",COA_Master!G60)</x:f>
      </x:c>
      <x:c r="F61" s="12">
        <x:f>IF(A61="","",COA_Master!N60)</x:f>
      </x:c>
      <x:c r="G61" s="12">
        <x:f>IF(A61="","",COA_Master!O60)</x:f>
      </x:c>
      <x:c r="H61" s="12">
        <x:f>IF(A61="","",COA_Master!P60)</x:f>
      </x:c>
      <x:c r="I61" s="12">
        <x:f>IF(A61="","",IF(E61="Debit",F61+G61-H61,F61-G61+H61))</x:f>
      </x:c>
      <x:c r="J61" s="12">
        <x:f>IF(A61="","",IF(E61="Debit",MAX(0,I61),0))</x:f>
      </x:c>
      <x:c r="K61" s="12">
        <x:f>IF(A61="","",IF(E61="Credit",MAX(0,I61),0))</x:f>
      </x:c>
      <x:c r="L61" s="12">
        <x:f>IF(A61="","",COA_Master!R60)</x:f>
      </x:c>
      <x:c r="M61" s="12">
        <x:f>IF(A61="","",I61-L61)</x:f>
      </x:c>
      <x:c r="N61" s="19">
        <x:f>IF(A61="","",IF(ABS(I61-COA_Master!Q60)&lt;=0.01,"OK","CHECK"))</x:f>
      </x:c>
    </x:row>
    <x:row r="62">
      <x:c r="A62" s="18">
        <x:f>IF(COA_Master!A61="","",COA_Master!A61)</x:f>
      </x:c>
      <x:c r="B62" s="18">
        <x:f>IF(A62="","",COA_Master!C61)</x:f>
      </x:c>
      <x:c r="C62" s="18">
        <x:f>IF(A62="","",COA_Master!D61)</x:f>
      </x:c>
      <x:c r="D62" s="18">
        <x:f>IF(A62="","",COA_Master!F61)</x:f>
      </x:c>
      <x:c r="E62" s="18">
        <x:f>IF(A62="","",COA_Master!G61)</x:f>
      </x:c>
      <x:c r="F62" s="12">
        <x:f>IF(A62="","",COA_Master!N61)</x:f>
      </x:c>
      <x:c r="G62" s="12">
        <x:f>IF(A62="","",COA_Master!O61)</x:f>
      </x:c>
      <x:c r="H62" s="12">
        <x:f>IF(A62="","",COA_Master!P61)</x:f>
      </x:c>
      <x:c r="I62" s="12">
        <x:f>IF(A62="","",IF(E62="Debit",F62+G62-H62,F62-G62+H62))</x:f>
      </x:c>
      <x:c r="J62" s="12">
        <x:f>IF(A62="","",IF(E62="Debit",MAX(0,I62),0))</x:f>
      </x:c>
      <x:c r="K62" s="12">
        <x:f>IF(A62="","",IF(E62="Credit",MAX(0,I62),0))</x:f>
      </x:c>
      <x:c r="L62" s="12">
        <x:f>IF(A62="","",COA_Master!R61)</x:f>
      </x:c>
      <x:c r="M62" s="12">
        <x:f>IF(A62="","",I62-L62)</x:f>
      </x:c>
      <x:c r="N62" s="19">
        <x:f>IF(A62="","",IF(ABS(I62-COA_Master!Q61)&lt;=0.01,"OK","CHECK"))</x:f>
      </x:c>
    </x:row>
    <x:row r="63">
      <x:c r="A63" s="18">
        <x:f>IF(COA_Master!A62="","",COA_Master!A62)</x:f>
      </x:c>
      <x:c r="B63" s="18">
        <x:f>IF(A63="","",COA_Master!C62)</x:f>
      </x:c>
      <x:c r="C63" s="18">
        <x:f>IF(A63="","",COA_Master!D62)</x:f>
      </x:c>
      <x:c r="D63" s="18">
        <x:f>IF(A63="","",COA_Master!F62)</x:f>
      </x:c>
      <x:c r="E63" s="18">
        <x:f>IF(A63="","",COA_Master!G62)</x:f>
      </x:c>
      <x:c r="F63" s="12">
        <x:f>IF(A63="","",COA_Master!N62)</x:f>
      </x:c>
      <x:c r="G63" s="12">
        <x:f>IF(A63="","",COA_Master!O62)</x:f>
      </x:c>
      <x:c r="H63" s="12">
        <x:f>IF(A63="","",COA_Master!P62)</x:f>
      </x:c>
      <x:c r="I63" s="12">
        <x:f>IF(A63="","",IF(E63="Debit",F63+G63-H63,F63-G63+H63))</x:f>
      </x:c>
      <x:c r="J63" s="12">
        <x:f>IF(A63="","",IF(E63="Debit",MAX(0,I63),0))</x:f>
      </x:c>
      <x:c r="K63" s="12">
        <x:f>IF(A63="","",IF(E63="Credit",MAX(0,I63),0))</x:f>
      </x:c>
      <x:c r="L63" s="12">
        <x:f>IF(A63="","",COA_Master!R62)</x:f>
      </x:c>
      <x:c r="M63" s="12">
        <x:f>IF(A63="","",I63-L63)</x:f>
      </x:c>
      <x:c r="N63" s="19">
        <x:f>IF(A63="","",IF(ABS(I63-COA_Master!Q62)&lt;=0.01,"OK","CHECK"))</x:f>
      </x:c>
    </x:row>
    <x:row r="64">
      <x:c r="A64" s="18">
        <x:f>IF(COA_Master!A63="","",COA_Master!A63)</x:f>
      </x:c>
      <x:c r="B64" s="18">
        <x:f>IF(A64="","",COA_Master!C63)</x:f>
      </x:c>
      <x:c r="C64" s="18">
        <x:f>IF(A64="","",COA_Master!D63)</x:f>
      </x:c>
      <x:c r="D64" s="18">
        <x:f>IF(A64="","",COA_Master!F63)</x:f>
      </x:c>
      <x:c r="E64" s="18">
        <x:f>IF(A64="","",COA_Master!G63)</x:f>
      </x:c>
      <x:c r="F64" s="12">
        <x:f>IF(A64="","",COA_Master!N63)</x:f>
      </x:c>
      <x:c r="G64" s="12">
        <x:f>IF(A64="","",COA_Master!O63)</x:f>
      </x:c>
      <x:c r="H64" s="12">
        <x:f>IF(A64="","",COA_Master!P63)</x:f>
      </x:c>
      <x:c r="I64" s="12">
        <x:f>IF(A64="","",IF(E64="Debit",F64+G64-H64,F64-G64+H64))</x:f>
      </x:c>
      <x:c r="J64" s="12">
        <x:f>IF(A64="","",IF(E64="Debit",MAX(0,I64),0))</x:f>
      </x:c>
      <x:c r="K64" s="12">
        <x:f>IF(A64="","",IF(E64="Credit",MAX(0,I64),0))</x:f>
      </x:c>
      <x:c r="L64" s="12">
        <x:f>IF(A64="","",COA_Master!R63)</x:f>
      </x:c>
      <x:c r="M64" s="12">
        <x:f>IF(A64="","",I64-L64)</x:f>
      </x:c>
      <x:c r="N64" s="19">
        <x:f>IF(A64="","",IF(ABS(I64-COA_Master!Q63)&lt;=0.01,"OK","CHECK"))</x:f>
      </x:c>
    </x:row>
    <x:row r="65">
      <x:c r="A65" s="18">
        <x:f>IF(COA_Master!A64="","",COA_Master!A64)</x:f>
      </x:c>
      <x:c r="B65" s="18">
        <x:f>IF(A65="","",COA_Master!C64)</x:f>
      </x:c>
      <x:c r="C65" s="18">
        <x:f>IF(A65="","",COA_Master!D64)</x:f>
      </x:c>
      <x:c r="D65" s="18">
        <x:f>IF(A65="","",COA_Master!F64)</x:f>
      </x:c>
      <x:c r="E65" s="18">
        <x:f>IF(A65="","",COA_Master!G64)</x:f>
      </x:c>
      <x:c r="F65" s="12">
        <x:f>IF(A65="","",COA_Master!N64)</x:f>
      </x:c>
      <x:c r="G65" s="12">
        <x:f>IF(A65="","",COA_Master!O64)</x:f>
      </x:c>
      <x:c r="H65" s="12">
        <x:f>IF(A65="","",COA_Master!P64)</x:f>
      </x:c>
      <x:c r="I65" s="12">
        <x:f>IF(A65="","",IF(E65="Debit",F65+G65-H65,F65-G65+H65))</x:f>
      </x:c>
      <x:c r="J65" s="12">
        <x:f>IF(A65="","",IF(E65="Debit",MAX(0,I65),0))</x:f>
      </x:c>
      <x:c r="K65" s="12">
        <x:f>IF(A65="","",IF(E65="Credit",MAX(0,I65),0))</x:f>
      </x:c>
      <x:c r="L65" s="12">
        <x:f>IF(A65="","",COA_Master!R64)</x:f>
      </x:c>
      <x:c r="M65" s="12">
        <x:f>IF(A65="","",I65-L65)</x:f>
      </x:c>
      <x:c r="N65" s="19">
        <x:f>IF(A65="","",IF(ABS(I65-COA_Master!Q64)&lt;=0.01,"OK","CHECK"))</x:f>
      </x:c>
    </x:row>
    <x:row r="66">
      <x:c r="A66" s="18">
        <x:f>IF(COA_Master!A65="","",COA_Master!A65)</x:f>
      </x:c>
      <x:c r="B66" s="18">
        <x:f>IF(A66="","",COA_Master!C65)</x:f>
      </x:c>
      <x:c r="C66" s="18">
        <x:f>IF(A66="","",COA_Master!D65)</x:f>
      </x:c>
      <x:c r="D66" s="18">
        <x:f>IF(A66="","",COA_Master!F65)</x:f>
      </x:c>
      <x:c r="E66" s="18">
        <x:f>IF(A66="","",COA_Master!G65)</x:f>
      </x:c>
      <x:c r="F66" s="12">
        <x:f>IF(A66="","",COA_Master!N65)</x:f>
      </x:c>
      <x:c r="G66" s="12">
        <x:f>IF(A66="","",COA_Master!O65)</x:f>
      </x:c>
      <x:c r="H66" s="12">
        <x:f>IF(A66="","",COA_Master!P65)</x:f>
      </x:c>
      <x:c r="I66" s="12">
        <x:f>IF(A66="","",IF(E66="Debit",F66+G66-H66,F66-G66+H66))</x:f>
      </x:c>
      <x:c r="J66" s="12">
        <x:f>IF(A66="","",IF(E66="Debit",MAX(0,I66),0))</x:f>
      </x:c>
      <x:c r="K66" s="12">
        <x:f>IF(A66="","",IF(E66="Credit",MAX(0,I66),0))</x:f>
      </x:c>
      <x:c r="L66" s="12">
        <x:f>IF(A66="","",COA_Master!R65)</x:f>
      </x:c>
      <x:c r="M66" s="12">
        <x:f>IF(A66="","",I66-L66)</x:f>
      </x:c>
      <x:c r="N66" s="19">
        <x:f>IF(A66="","",IF(ABS(I66-COA_Master!Q65)&lt;=0.01,"OK","CHECK"))</x:f>
      </x:c>
    </x:row>
    <x:row r="67">
      <x:c r="A67" s="18">
        <x:f>IF(COA_Master!A66="","",COA_Master!A66)</x:f>
      </x:c>
      <x:c r="B67" s="18">
        <x:f>IF(A67="","",COA_Master!C66)</x:f>
      </x:c>
      <x:c r="C67" s="18">
        <x:f>IF(A67="","",COA_Master!D66)</x:f>
      </x:c>
      <x:c r="D67" s="18">
        <x:f>IF(A67="","",COA_Master!F66)</x:f>
      </x:c>
      <x:c r="E67" s="18">
        <x:f>IF(A67="","",COA_Master!G66)</x:f>
      </x:c>
      <x:c r="F67" s="12">
        <x:f>IF(A67="","",COA_Master!N66)</x:f>
      </x:c>
      <x:c r="G67" s="12">
        <x:f>IF(A67="","",COA_Master!O66)</x:f>
      </x:c>
      <x:c r="H67" s="12">
        <x:f>IF(A67="","",COA_Master!P66)</x:f>
      </x:c>
      <x:c r="I67" s="12">
        <x:f>IF(A67="","",IF(E67="Debit",F67+G67-H67,F67-G67+H67))</x:f>
      </x:c>
      <x:c r="J67" s="12">
        <x:f>IF(A67="","",IF(E67="Debit",MAX(0,I67),0))</x:f>
      </x:c>
      <x:c r="K67" s="12">
        <x:f>IF(A67="","",IF(E67="Credit",MAX(0,I67),0))</x:f>
      </x:c>
      <x:c r="L67" s="12">
        <x:f>IF(A67="","",COA_Master!R66)</x:f>
      </x:c>
      <x:c r="M67" s="12">
        <x:f>IF(A67="","",I67-L67)</x:f>
      </x:c>
      <x:c r="N67" s="19">
        <x:f>IF(A67="","",IF(ABS(I67-COA_Master!Q66)&lt;=0.01,"OK","CHECK"))</x:f>
      </x:c>
    </x:row>
    <x:row r="68">
      <x:c r="A68" s="18">
        <x:f>IF(COA_Master!A67="","",COA_Master!A67)</x:f>
      </x:c>
      <x:c r="B68" s="18">
        <x:f>IF(A68="","",COA_Master!C67)</x:f>
      </x:c>
      <x:c r="C68" s="18">
        <x:f>IF(A68="","",COA_Master!D67)</x:f>
      </x:c>
      <x:c r="D68" s="18">
        <x:f>IF(A68="","",COA_Master!F67)</x:f>
      </x:c>
      <x:c r="E68" s="18">
        <x:f>IF(A68="","",COA_Master!G67)</x:f>
      </x:c>
      <x:c r="F68" s="12">
        <x:f>IF(A68="","",COA_Master!N67)</x:f>
      </x:c>
      <x:c r="G68" s="12">
        <x:f>IF(A68="","",COA_Master!O67)</x:f>
      </x:c>
      <x:c r="H68" s="12">
        <x:f>IF(A68="","",COA_Master!P67)</x:f>
      </x:c>
      <x:c r="I68" s="12">
        <x:f>IF(A68="","",IF(E68="Debit",F68+G68-H68,F68-G68+H68))</x:f>
      </x:c>
      <x:c r="J68" s="12">
        <x:f>IF(A68="","",IF(E68="Debit",MAX(0,I68),0))</x:f>
      </x:c>
      <x:c r="K68" s="12">
        <x:f>IF(A68="","",IF(E68="Credit",MAX(0,I68),0))</x:f>
      </x:c>
      <x:c r="L68" s="12">
        <x:f>IF(A68="","",COA_Master!R67)</x:f>
      </x:c>
      <x:c r="M68" s="12">
        <x:f>IF(A68="","",I68-L68)</x:f>
      </x:c>
      <x:c r="N68" s="19">
        <x:f>IF(A68="","",IF(ABS(I68-COA_Master!Q67)&lt;=0.01,"OK","CHECK"))</x:f>
      </x:c>
    </x:row>
    <x:row r="69">
      <x:c r="A69" s="18">
        <x:f>IF(COA_Master!A68="","",COA_Master!A68)</x:f>
      </x:c>
      <x:c r="B69" s="18">
        <x:f>IF(A69="","",COA_Master!C68)</x:f>
      </x:c>
      <x:c r="C69" s="18">
        <x:f>IF(A69="","",COA_Master!D68)</x:f>
      </x:c>
      <x:c r="D69" s="18">
        <x:f>IF(A69="","",COA_Master!F68)</x:f>
      </x:c>
      <x:c r="E69" s="18">
        <x:f>IF(A69="","",COA_Master!G68)</x:f>
      </x:c>
      <x:c r="F69" s="12">
        <x:f>IF(A69="","",COA_Master!N68)</x:f>
      </x:c>
      <x:c r="G69" s="12">
        <x:f>IF(A69="","",COA_Master!O68)</x:f>
      </x:c>
      <x:c r="H69" s="12">
        <x:f>IF(A69="","",COA_Master!P68)</x:f>
      </x:c>
      <x:c r="I69" s="12">
        <x:f>IF(A69="","",IF(E69="Debit",F69+G69-H69,F69-G69+H69))</x:f>
      </x:c>
      <x:c r="J69" s="12">
        <x:f>IF(A69="","",IF(E69="Debit",MAX(0,I69),0))</x:f>
      </x:c>
      <x:c r="K69" s="12">
        <x:f>IF(A69="","",IF(E69="Credit",MAX(0,I69),0))</x:f>
      </x:c>
      <x:c r="L69" s="12">
        <x:f>IF(A69="","",COA_Master!R68)</x:f>
      </x:c>
      <x:c r="M69" s="12">
        <x:f>IF(A69="","",I69-L69)</x:f>
      </x:c>
      <x:c r="N69" s="19">
        <x:f>IF(A69="","",IF(ABS(I69-COA_Master!Q68)&lt;=0.01,"OK","CHECK"))</x:f>
      </x:c>
    </x:row>
    <x:row r="70">
      <x:c r="A70" s="18">
        <x:f>IF(COA_Master!A69="","",COA_Master!A69)</x:f>
      </x:c>
      <x:c r="B70" s="18">
        <x:f>IF(A70="","",COA_Master!C69)</x:f>
      </x:c>
      <x:c r="C70" s="18">
        <x:f>IF(A70="","",COA_Master!D69)</x:f>
      </x:c>
      <x:c r="D70" s="18">
        <x:f>IF(A70="","",COA_Master!F69)</x:f>
      </x:c>
      <x:c r="E70" s="18">
        <x:f>IF(A70="","",COA_Master!G69)</x:f>
      </x:c>
      <x:c r="F70" s="12">
        <x:f>IF(A70="","",COA_Master!N69)</x:f>
      </x:c>
      <x:c r="G70" s="12">
        <x:f>IF(A70="","",COA_Master!O69)</x:f>
      </x:c>
      <x:c r="H70" s="12">
        <x:f>IF(A70="","",COA_Master!P69)</x:f>
      </x:c>
      <x:c r="I70" s="12">
        <x:f>IF(A70="","",IF(E70="Debit",F70+G70-H70,F70-G70+H70))</x:f>
      </x:c>
      <x:c r="J70" s="12">
        <x:f>IF(A70="","",IF(E70="Debit",MAX(0,I70),0))</x:f>
      </x:c>
      <x:c r="K70" s="12">
        <x:f>IF(A70="","",IF(E70="Credit",MAX(0,I70),0))</x:f>
      </x:c>
      <x:c r="L70" s="12">
        <x:f>IF(A70="","",COA_Master!R69)</x:f>
      </x:c>
      <x:c r="M70" s="12">
        <x:f>IF(A70="","",I70-L70)</x:f>
      </x:c>
      <x:c r="N70" s="19">
        <x:f>IF(A70="","",IF(ABS(I70-COA_Master!Q69)&lt;=0.01,"OK","CHECK"))</x:f>
      </x:c>
    </x:row>
    <x:row r="71">
      <x:c r="A71" s="18">
        <x:f>IF(COA_Master!A70="","",COA_Master!A70)</x:f>
      </x:c>
      <x:c r="B71" s="18">
        <x:f>IF(A71="","",COA_Master!C70)</x:f>
      </x:c>
      <x:c r="C71" s="18">
        <x:f>IF(A71="","",COA_Master!D70)</x:f>
      </x:c>
      <x:c r="D71" s="18">
        <x:f>IF(A71="","",COA_Master!F70)</x:f>
      </x:c>
      <x:c r="E71" s="18">
        <x:f>IF(A71="","",COA_Master!G70)</x:f>
      </x:c>
      <x:c r="F71" s="12">
        <x:f>IF(A71="","",COA_Master!N70)</x:f>
      </x:c>
      <x:c r="G71" s="12">
        <x:f>IF(A71="","",COA_Master!O70)</x:f>
      </x:c>
      <x:c r="H71" s="12">
        <x:f>IF(A71="","",COA_Master!P70)</x:f>
      </x:c>
      <x:c r="I71" s="12">
        <x:f>IF(A71="","",IF(E71="Debit",F71+G71-H71,F71-G71+H71))</x:f>
      </x:c>
      <x:c r="J71" s="12">
        <x:f>IF(A71="","",IF(E71="Debit",MAX(0,I71),0))</x:f>
      </x:c>
      <x:c r="K71" s="12">
        <x:f>IF(A71="","",IF(E71="Credit",MAX(0,I71),0))</x:f>
      </x:c>
      <x:c r="L71" s="12">
        <x:f>IF(A71="","",COA_Master!R70)</x:f>
      </x:c>
      <x:c r="M71" s="12">
        <x:f>IF(A71="","",I71-L71)</x:f>
      </x:c>
      <x:c r="N71" s="19">
        <x:f>IF(A71="","",IF(ABS(I71-COA_Master!Q70)&lt;=0.01,"OK","CHECK"))</x:f>
      </x:c>
    </x:row>
    <x:row r="72">
      <x:c r="A72" s="18">
        <x:f>IF(COA_Master!A71="","",COA_Master!A71)</x:f>
      </x:c>
      <x:c r="B72" s="18">
        <x:f>IF(A72="","",COA_Master!C71)</x:f>
      </x:c>
      <x:c r="C72" s="18">
        <x:f>IF(A72="","",COA_Master!D71)</x:f>
      </x:c>
      <x:c r="D72" s="18">
        <x:f>IF(A72="","",COA_Master!F71)</x:f>
      </x:c>
      <x:c r="E72" s="18">
        <x:f>IF(A72="","",COA_Master!G71)</x:f>
      </x:c>
      <x:c r="F72" s="12">
        <x:f>IF(A72="","",COA_Master!N71)</x:f>
      </x:c>
      <x:c r="G72" s="12">
        <x:f>IF(A72="","",COA_Master!O71)</x:f>
      </x:c>
      <x:c r="H72" s="12">
        <x:f>IF(A72="","",COA_Master!P71)</x:f>
      </x:c>
      <x:c r="I72" s="12">
        <x:f>IF(A72="","",IF(E72="Debit",F72+G72-H72,F72-G72+H72))</x:f>
      </x:c>
      <x:c r="J72" s="12">
        <x:f>IF(A72="","",IF(E72="Debit",MAX(0,I72),0))</x:f>
      </x:c>
      <x:c r="K72" s="12">
        <x:f>IF(A72="","",IF(E72="Credit",MAX(0,I72),0))</x:f>
      </x:c>
      <x:c r="L72" s="12">
        <x:f>IF(A72="","",COA_Master!R71)</x:f>
      </x:c>
      <x:c r="M72" s="12">
        <x:f>IF(A72="","",I72-L72)</x:f>
      </x:c>
      <x:c r="N72" s="19">
        <x:f>IF(A72="","",IF(ABS(I72-COA_Master!Q71)&lt;=0.01,"OK","CHECK"))</x:f>
      </x:c>
    </x:row>
    <x:row r="73">
      <x:c r="A73" s="18">
        <x:f>IF(COA_Master!A72="","",COA_Master!A72)</x:f>
      </x:c>
      <x:c r="B73" s="18">
        <x:f>IF(A73="","",COA_Master!C72)</x:f>
      </x:c>
      <x:c r="C73" s="18">
        <x:f>IF(A73="","",COA_Master!D72)</x:f>
      </x:c>
      <x:c r="D73" s="18">
        <x:f>IF(A73="","",COA_Master!F72)</x:f>
      </x:c>
      <x:c r="E73" s="18">
        <x:f>IF(A73="","",COA_Master!G72)</x:f>
      </x:c>
      <x:c r="F73" s="12">
        <x:f>IF(A73="","",COA_Master!N72)</x:f>
      </x:c>
      <x:c r="G73" s="12">
        <x:f>IF(A73="","",COA_Master!O72)</x:f>
      </x:c>
      <x:c r="H73" s="12">
        <x:f>IF(A73="","",COA_Master!P72)</x:f>
      </x:c>
      <x:c r="I73" s="12">
        <x:f>IF(A73="","",IF(E73="Debit",F73+G73-H73,F73-G73+H73))</x:f>
      </x:c>
      <x:c r="J73" s="12">
        <x:f>IF(A73="","",IF(E73="Debit",MAX(0,I73),0))</x:f>
      </x:c>
      <x:c r="K73" s="12">
        <x:f>IF(A73="","",IF(E73="Credit",MAX(0,I73),0))</x:f>
      </x:c>
      <x:c r="L73" s="12">
        <x:f>IF(A73="","",COA_Master!R72)</x:f>
      </x:c>
      <x:c r="M73" s="12">
        <x:f>IF(A73="","",I73-L73)</x:f>
      </x:c>
      <x:c r="N73" s="19">
        <x:f>IF(A73="","",IF(ABS(I73-COA_Master!Q72)&lt;=0.01,"OK","CHECK"))</x:f>
      </x:c>
    </x:row>
    <x:row r="74">
      <x:c r="A74" s="18">
        <x:f>IF(COA_Master!A73="","",COA_Master!A73)</x:f>
      </x:c>
      <x:c r="B74" s="18">
        <x:f>IF(A74="","",COA_Master!C73)</x:f>
      </x:c>
      <x:c r="C74" s="18">
        <x:f>IF(A74="","",COA_Master!D73)</x:f>
      </x:c>
      <x:c r="D74" s="18">
        <x:f>IF(A74="","",COA_Master!F73)</x:f>
      </x:c>
      <x:c r="E74" s="18">
        <x:f>IF(A74="","",COA_Master!G73)</x:f>
      </x:c>
      <x:c r="F74" s="12">
        <x:f>IF(A74="","",COA_Master!N73)</x:f>
      </x:c>
      <x:c r="G74" s="12">
        <x:f>IF(A74="","",COA_Master!O73)</x:f>
      </x:c>
      <x:c r="H74" s="12">
        <x:f>IF(A74="","",COA_Master!P73)</x:f>
      </x:c>
      <x:c r="I74" s="12">
        <x:f>IF(A74="","",IF(E74="Debit",F74+G74-H74,F74-G74+H74))</x:f>
      </x:c>
      <x:c r="J74" s="12">
        <x:f>IF(A74="","",IF(E74="Debit",MAX(0,I74),0))</x:f>
      </x:c>
      <x:c r="K74" s="12">
        <x:f>IF(A74="","",IF(E74="Credit",MAX(0,I74),0))</x:f>
      </x:c>
      <x:c r="L74" s="12">
        <x:f>IF(A74="","",COA_Master!R73)</x:f>
      </x:c>
      <x:c r="M74" s="12">
        <x:f>IF(A74="","",I74-L74)</x:f>
      </x:c>
      <x:c r="N74" s="19">
        <x:f>IF(A74="","",IF(ABS(I74-COA_Master!Q73)&lt;=0.01,"OK","CHECK"))</x:f>
      </x:c>
    </x:row>
    <x:row r="75">
      <x:c r="A75" s="18">
        <x:f>IF(COA_Master!A74="","",COA_Master!A74)</x:f>
      </x:c>
      <x:c r="B75" s="18">
        <x:f>IF(A75="","",COA_Master!C74)</x:f>
      </x:c>
      <x:c r="C75" s="18">
        <x:f>IF(A75="","",COA_Master!D74)</x:f>
      </x:c>
      <x:c r="D75" s="18">
        <x:f>IF(A75="","",COA_Master!F74)</x:f>
      </x:c>
      <x:c r="E75" s="18">
        <x:f>IF(A75="","",COA_Master!G74)</x:f>
      </x:c>
      <x:c r="F75" s="12">
        <x:f>IF(A75="","",COA_Master!N74)</x:f>
      </x:c>
      <x:c r="G75" s="12">
        <x:f>IF(A75="","",COA_Master!O74)</x:f>
      </x:c>
      <x:c r="H75" s="12">
        <x:f>IF(A75="","",COA_Master!P74)</x:f>
      </x:c>
      <x:c r="I75" s="12">
        <x:f>IF(A75="","",IF(E75="Debit",F75+G75-H75,F75-G75+H75))</x:f>
      </x:c>
      <x:c r="J75" s="12">
        <x:f>IF(A75="","",IF(E75="Debit",MAX(0,I75),0))</x:f>
      </x:c>
      <x:c r="K75" s="12">
        <x:f>IF(A75="","",IF(E75="Credit",MAX(0,I75),0))</x:f>
      </x:c>
      <x:c r="L75" s="12">
        <x:f>IF(A75="","",COA_Master!R74)</x:f>
      </x:c>
      <x:c r="M75" s="12">
        <x:f>IF(A75="","",I75-L75)</x:f>
      </x:c>
      <x:c r="N75" s="19">
        <x:f>IF(A75="","",IF(ABS(I75-COA_Master!Q74)&lt;=0.01,"OK","CHECK"))</x:f>
      </x:c>
    </x:row>
    <x:row r="76">
      <x:c r="A76" s="18">
        <x:f>IF(COA_Master!A75="","",COA_Master!A75)</x:f>
      </x:c>
      <x:c r="B76" s="18">
        <x:f>IF(A76="","",COA_Master!C75)</x:f>
      </x:c>
      <x:c r="C76" s="18">
        <x:f>IF(A76="","",COA_Master!D75)</x:f>
      </x:c>
      <x:c r="D76" s="18">
        <x:f>IF(A76="","",COA_Master!F75)</x:f>
      </x:c>
      <x:c r="E76" s="18">
        <x:f>IF(A76="","",COA_Master!G75)</x:f>
      </x:c>
      <x:c r="F76" s="12">
        <x:f>IF(A76="","",COA_Master!N75)</x:f>
      </x:c>
      <x:c r="G76" s="12">
        <x:f>IF(A76="","",COA_Master!O75)</x:f>
      </x:c>
      <x:c r="H76" s="12">
        <x:f>IF(A76="","",COA_Master!P75)</x:f>
      </x:c>
      <x:c r="I76" s="12">
        <x:f>IF(A76="","",IF(E76="Debit",F76+G76-H76,F76-G76+H76))</x:f>
      </x:c>
      <x:c r="J76" s="12">
        <x:f>IF(A76="","",IF(E76="Debit",MAX(0,I76),0))</x:f>
      </x:c>
      <x:c r="K76" s="12">
        <x:f>IF(A76="","",IF(E76="Credit",MAX(0,I76),0))</x:f>
      </x:c>
      <x:c r="L76" s="12">
        <x:f>IF(A76="","",COA_Master!R75)</x:f>
      </x:c>
      <x:c r="M76" s="12">
        <x:f>IF(A76="","",I76-L76)</x:f>
      </x:c>
      <x:c r="N76" s="19">
        <x:f>IF(A76="","",IF(ABS(I76-COA_Master!Q75)&lt;=0.01,"OK","CHECK"))</x:f>
      </x:c>
    </x:row>
    <x:row r="77">
      <x:c r="A77" s="18">
        <x:f>IF(COA_Master!A76="","",COA_Master!A76)</x:f>
      </x:c>
      <x:c r="B77" s="18">
        <x:f>IF(A77="","",COA_Master!C76)</x:f>
      </x:c>
      <x:c r="C77" s="18">
        <x:f>IF(A77="","",COA_Master!D76)</x:f>
      </x:c>
      <x:c r="D77" s="18">
        <x:f>IF(A77="","",COA_Master!F76)</x:f>
      </x:c>
      <x:c r="E77" s="18">
        <x:f>IF(A77="","",COA_Master!G76)</x:f>
      </x:c>
      <x:c r="F77" s="12">
        <x:f>IF(A77="","",COA_Master!N76)</x:f>
      </x:c>
      <x:c r="G77" s="12">
        <x:f>IF(A77="","",COA_Master!O76)</x:f>
      </x:c>
      <x:c r="H77" s="12">
        <x:f>IF(A77="","",COA_Master!P76)</x:f>
      </x:c>
      <x:c r="I77" s="12">
        <x:f>IF(A77="","",IF(E77="Debit",F77+G77-H77,F77-G77+H77))</x:f>
      </x:c>
      <x:c r="J77" s="12">
        <x:f>IF(A77="","",IF(E77="Debit",MAX(0,I77),0))</x:f>
      </x:c>
      <x:c r="K77" s="12">
        <x:f>IF(A77="","",IF(E77="Credit",MAX(0,I77),0))</x:f>
      </x:c>
      <x:c r="L77" s="12">
        <x:f>IF(A77="","",COA_Master!R76)</x:f>
      </x:c>
      <x:c r="M77" s="12">
        <x:f>IF(A77="","",I77-L77)</x:f>
      </x:c>
      <x:c r="N77" s="19">
        <x:f>IF(A77="","",IF(ABS(I77-COA_Master!Q76)&lt;=0.01,"OK","CHECK"))</x:f>
      </x:c>
    </x:row>
    <x:row r="78">
      <x:c r="A78" s="18">
        <x:f>IF(COA_Master!A77="","",COA_Master!A77)</x:f>
      </x:c>
      <x:c r="B78" s="18">
        <x:f>IF(A78="","",COA_Master!C77)</x:f>
      </x:c>
      <x:c r="C78" s="18">
        <x:f>IF(A78="","",COA_Master!D77)</x:f>
      </x:c>
      <x:c r="D78" s="18">
        <x:f>IF(A78="","",COA_Master!F77)</x:f>
      </x:c>
      <x:c r="E78" s="18">
        <x:f>IF(A78="","",COA_Master!G77)</x:f>
      </x:c>
      <x:c r="F78" s="12">
        <x:f>IF(A78="","",COA_Master!N77)</x:f>
      </x:c>
      <x:c r="G78" s="12">
        <x:f>IF(A78="","",COA_Master!O77)</x:f>
      </x:c>
      <x:c r="H78" s="12">
        <x:f>IF(A78="","",COA_Master!P77)</x:f>
      </x:c>
      <x:c r="I78" s="12">
        <x:f>IF(A78="","",IF(E78="Debit",F78+G78-H78,F78-G78+H78))</x:f>
      </x:c>
      <x:c r="J78" s="12">
        <x:f>IF(A78="","",IF(E78="Debit",MAX(0,I78),0))</x:f>
      </x:c>
      <x:c r="K78" s="12">
        <x:f>IF(A78="","",IF(E78="Credit",MAX(0,I78),0))</x:f>
      </x:c>
      <x:c r="L78" s="12">
        <x:f>IF(A78="","",COA_Master!R77)</x:f>
      </x:c>
      <x:c r="M78" s="12">
        <x:f>IF(A78="","",I78-L78)</x:f>
      </x:c>
      <x:c r="N78" s="19">
        <x:f>IF(A78="","",IF(ABS(I78-COA_Master!Q77)&lt;=0.01,"OK","CHECK"))</x:f>
      </x:c>
    </x:row>
    <x:row r="79">
      <x:c r="A79" s="18">
        <x:f>IF(COA_Master!A78="","",COA_Master!A78)</x:f>
      </x:c>
      <x:c r="B79" s="18">
        <x:f>IF(A79="","",COA_Master!C78)</x:f>
      </x:c>
      <x:c r="C79" s="18">
        <x:f>IF(A79="","",COA_Master!D78)</x:f>
      </x:c>
      <x:c r="D79" s="18">
        <x:f>IF(A79="","",COA_Master!F78)</x:f>
      </x:c>
      <x:c r="E79" s="18">
        <x:f>IF(A79="","",COA_Master!G78)</x:f>
      </x:c>
      <x:c r="F79" s="12">
        <x:f>IF(A79="","",COA_Master!N78)</x:f>
      </x:c>
      <x:c r="G79" s="12">
        <x:f>IF(A79="","",COA_Master!O78)</x:f>
      </x:c>
      <x:c r="H79" s="12">
        <x:f>IF(A79="","",COA_Master!P78)</x:f>
      </x:c>
      <x:c r="I79" s="12">
        <x:f>IF(A79="","",IF(E79="Debit",F79+G79-H79,F79-G79+H79))</x:f>
      </x:c>
      <x:c r="J79" s="12">
        <x:f>IF(A79="","",IF(E79="Debit",MAX(0,I79),0))</x:f>
      </x:c>
      <x:c r="K79" s="12">
        <x:f>IF(A79="","",IF(E79="Credit",MAX(0,I79),0))</x:f>
      </x:c>
      <x:c r="L79" s="12">
        <x:f>IF(A79="","",COA_Master!R78)</x:f>
      </x:c>
      <x:c r="M79" s="12">
        <x:f>IF(A79="","",I79-L79)</x:f>
      </x:c>
      <x:c r="N79" s="19">
        <x:f>IF(A79="","",IF(ABS(I79-COA_Master!Q78)&lt;=0.01,"OK","CHECK"))</x:f>
      </x:c>
    </x:row>
    <x:row r="80">
      <x:c r="A80" s="18">
        <x:f>IF(COA_Master!A79="","",COA_Master!A79)</x:f>
      </x:c>
      <x:c r="B80" s="18">
        <x:f>IF(A80="","",COA_Master!C79)</x:f>
      </x:c>
      <x:c r="C80" s="18">
        <x:f>IF(A80="","",COA_Master!D79)</x:f>
      </x:c>
      <x:c r="D80" s="18">
        <x:f>IF(A80="","",COA_Master!F79)</x:f>
      </x:c>
      <x:c r="E80" s="18">
        <x:f>IF(A80="","",COA_Master!G79)</x:f>
      </x:c>
      <x:c r="F80" s="12">
        <x:f>IF(A80="","",COA_Master!N79)</x:f>
      </x:c>
      <x:c r="G80" s="12">
        <x:f>IF(A80="","",COA_Master!O79)</x:f>
      </x:c>
      <x:c r="H80" s="12">
        <x:f>IF(A80="","",COA_Master!P79)</x:f>
      </x:c>
      <x:c r="I80" s="12">
        <x:f>IF(A80="","",IF(E80="Debit",F80+G80-H80,F80-G80+H80))</x:f>
      </x:c>
      <x:c r="J80" s="12">
        <x:f>IF(A80="","",IF(E80="Debit",MAX(0,I80),0))</x:f>
      </x:c>
      <x:c r="K80" s="12">
        <x:f>IF(A80="","",IF(E80="Credit",MAX(0,I80),0))</x:f>
      </x:c>
      <x:c r="L80" s="12">
        <x:f>IF(A80="","",COA_Master!R79)</x:f>
      </x:c>
      <x:c r="M80" s="12">
        <x:f>IF(A80="","",I80-L80)</x:f>
      </x:c>
      <x:c r="N80" s="19">
        <x:f>IF(A80="","",IF(ABS(I80-COA_Master!Q79)&lt;=0.01,"OK","CHECK"))</x:f>
      </x:c>
    </x:row>
    <x:row r="81">
      <x:c r="A81" s="18">
        <x:f>IF(COA_Master!A80="","",COA_Master!A80)</x:f>
      </x:c>
      <x:c r="B81" s="18">
        <x:f>IF(A81="","",COA_Master!C80)</x:f>
      </x:c>
      <x:c r="C81" s="18">
        <x:f>IF(A81="","",COA_Master!D80)</x:f>
      </x:c>
      <x:c r="D81" s="18">
        <x:f>IF(A81="","",COA_Master!F80)</x:f>
      </x:c>
      <x:c r="E81" s="18">
        <x:f>IF(A81="","",COA_Master!G80)</x:f>
      </x:c>
      <x:c r="F81" s="12">
        <x:f>IF(A81="","",COA_Master!N80)</x:f>
      </x:c>
      <x:c r="G81" s="12">
        <x:f>IF(A81="","",COA_Master!O80)</x:f>
      </x:c>
      <x:c r="H81" s="12">
        <x:f>IF(A81="","",COA_Master!P80)</x:f>
      </x:c>
      <x:c r="I81" s="12">
        <x:f>IF(A81="","",IF(E81="Debit",F81+G81-H81,F81-G81+H81))</x:f>
      </x:c>
      <x:c r="J81" s="12">
        <x:f>IF(A81="","",IF(E81="Debit",MAX(0,I81),0))</x:f>
      </x:c>
      <x:c r="K81" s="12">
        <x:f>IF(A81="","",IF(E81="Credit",MAX(0,I81),0))</x:f>
      </x:c>
      <x:c r="L81" s="12">
        <x:f>IF(A81="","",COA_Master!R80)</x:f>
      </x:c>
      <x:c r="M81" s="12">
        <x:f>IF(A81="","",I81-L81)</x:f>
      </x:c>
      <x:c r="N81" s="19">
        <x:f>IF(A81="","",IF(ABS(I81-COA_Master!Q80)&lt;=0.01,"OK","CHECK"))</x:f>
      </x:c>
    </x:row>
    <x:row r="82">
      <x:c r="A82" s="18">
        <x:f>IF(COA_Master!A81="","",COA_Master!A81)</x:f>
      </x:c>
      <x:c r="B82" s="18">
        <x:f>IF(A82="","",COA_Master!C81)</x:f>
      </x:c>
      <x:c r="C82" s="18">
        <x:f>IF(A82="","",COA_Master!D81)</x:f>
      </x:c>
      <x:c r="D82" s="18">
        <x:f>IF(A82="","",COA_Master!F81)</x:f>
      </x:c>
      <x:c r="E82" s="18">
        <x:f>IF(A82="","",COA_Master!G81)</x:f>
      </x:c>
      <x:c r="F82" s="12">
        <x:f>IF(A82="","",COA_Master!N81)</x:f>
      </x:c>
      <x:c r="G82" s="12">
        <x:f>IF(A82="","",COA_Master!O81)</x:f>
      </x:c>
      <x:c r="H82" s="12">
        <x:f>IF(A82="","",COA_Master!P81)</x:f>
      </x:c>
      <x:c r="I82" s="12">
        <x:f>IF(A82="","",IF(E82="Debit",F82+G82-H82,F82-G82+H82))</x:f>
      </x:c>
      <x:c r="J82" s="12">
        <x:f>IF(A82="","",IF(E82="Debit",MAX(0,I82),0))</x:f>
      </x:c>
      <x:c r="K82" s="12">
        <x:f>IF(A82="","",IF(E82="Credit",MAX(0,I82),0))</x:f>
      </x:c>
      <x:c r="L82" s="12">
        <x:f>IF(A82="","",COA_Master!R81)</x:f>
      </x:c>
      <x:c r="M82" s="12">
        <x:f>IF(A82="","",I82-L82)</x:f>
      </x:c>
      <x:c r="N82" s="19">
        <x:f>IF(A82="","",IF(ABS(I82-COA_Master!Q81)&lt;=0.01,"OK","CHECK"))</x:f>
      </x:c>
    </x:row>
    <x:row r="83">
      <x:c r="A83" s="18">
        <x:f>IF(COA_Master!A82="","",COA_Master!A82)</x:f>
      </x:c>
      <x:c r="B83" s="18">
        <x:f>IF(A83="","",COA_Master!C82)</x:f>
      </x:c>
      <x:c r="C83" s="18">
        <x:f>IF(A83="","",COA_Master!D82)</x:f>
      </x:c>
      <x:c r="D83" s="18">
        <x:f>IF(A83="","",COA_Master!F82)</x:f>
      </x:c>
      <x:c r="E83" s="18">
        <x:f>IF(A83="","",COA_Master!G82)</x:f>
      </x:c>
      <x:c r="F83" s="12">
        <x:f>IF(A83="","",COA_Master!N82)</x:f>
      </x:c>
      <x:c r="G83" s="12">
        <x:f>IF(A83="","",COA_Master!O82)</x:f>
      </x:c>
      <x:c r="H83" s="12">
        <x:f>IF(A83="","",COA_Master!P82)</x:f>
      </x:c>
      <x:c r="I83" s="12">
        <x:f>IF(A83="","",IF(E83="Debit",F83+G83-H83,F83-G83+H83))</x:f>
      </x:c>
      <x:c r="J83" s="12">
        <x:f>IF(A83="","",IF(E83="Debit",MAX(0,I83),0))</x:f>
      </x:c>
      <x:c r="K83" s="12">
        <x:f>IF(A83="","",IF(E83="Credit",MAX(0,I83),0))</x:f>
      </x:c>
      <x:c r="L83" s="12">
        <x:f>IF(A83="","",COA_Master!R82)</x:f>
      </x:c>
      <x:c r="M83" s="12">
        <x:f>IF(A83="","",I83-L83)</x:f>
      </x:c>
      <x:c r="N83" s="19">
        <x:f>IF(A83="","",IF(ABS(I83-COA_Master!Q82)&lt;=0.01,"OK","CHECK"))</x:f>
      </x:c>
    </x:row>
    <x:row r="84">
      <x:c r="A84" s="18">
        <x:f>IF(COA_Master!A83="","",COA_Master!A83)</x:f>
      </x:c>
      <x:c r="B84" s="18">
        <x:f>IF(A84="","",COA_Master!C83)</x:f>
      </x:c>
      <x:c r="C84" s="18">
        <x:f>IF(A84="","",COA_Master!D83)</x:f>
      </x:c>
      <x:c r="D84" s="18">
        <x:f>IF(A84="","",COA_Master!F83)</x:f>
      </x:c>
      <x:c r="E84" s="18">
        <x:f>IF(A84="","",COA_Master!G83)</x:f>
      </x:c>
      <x:c r="F84" s="12">
        <x:f>IF(A84="","",COA_Master!N83)</x:f>
      </x:c>
      <x:c r="G84" s="12">
        <x:f>IF(A84="","",COA_Master!O83)</x:f>
      </x:c>
      <x:c r="H84" s="12">
        <x:f>IF(A84="","",COA_Master!P83)</x:f>
      </x:c>
      <x:c r="I84" s="12">
        <x:f>IF(A84="","",IF(E84="Debit",F84+G84-H84,F84-G84+H84))</x:f>
      </x:c>
      <x:c r="J84" s="12">
        <x:f>IF(A84="","",IF(E84="Debit",MAX(0,I84),0))</x:f>
      </x:c>
      <x:c r="K84" s="12">
        <x:f>IF(A84="","",IF(E84="Credit",MAX(0,I84),0))</x:f>
      </x:c>
      <x:c r="L84" s="12">
        <x:f>IF(A84="","",COA_Master!R83)</x:f>
      </x:c>
      <x:c r="M84" s="12">
        <x:f>IF(A84="","",I84-L84)</x:f>
      </x:c>
      <x:c r="N84" s="19">
        <x:f>IF(A84="","",IF(ABS(I84-COA_Master!Q83)&lt;=0.01,"OK","CHECK"))</x:f>
      </x:c>
    </x:row>
    <x:row r="85">
      <x:c r="A85" s="18">
        <x:f>IF(COA_Master!A84="","",COA_Master!A84)</x:f>
      </x:c>
      <x:c r="B85" s="18">
        <x:f>IF(A85="","",COA_Master!C84)</x:f>
      </x:c>
      <x:c r="C85" s="18">
        <x:f>IF(A85="","",COA_Master!D84)</x:f>
      </x:c>
      <x:c r="D85" s="18">
        <x:f>IF(A85="","",COA_Master!F84)</x:f>
      </x:c>
      <x:c r="E85" s="18">
        <x:f>IF(A85="","",COA_Master!G84)</x:f>
      </x:c>
      <x:c r="F85" s="12">
        <x:f>IF(A85="","",COA_Master!N84)</x:f>
      </x:c>
      <x:c r="G85" s="12">
        <x:f>IF(A85="","",COA_Master!O84)</x:f>
      </x:c>
      <x:c r="H85" s="12">
        <x:f>IF(A85="","",COA_Master!P84)</x:f>
      </x:c>
      <x:c r="I85" s="12">
        <x:f>IF(A85="","",IF(E85="Debit",F85+G85-H85,F85-G85+H85))</x:f>
      </x:c>
      <x:c r="J85" s="12">
        <x:f>IF(A85="","",IF(E85="Debit",MAX(0,I85),0))</x:f>
      </x:c>
      <x:c r="K85" s="12">
        <x:f>IF(A85="","",IF(E85="Credit",MAX(0,I85),0))</x:f>
      </x:c>
      <x:c r="L85" s="12">
        <x:f>IF(A85="","",COA_Master!R84)</x:f>
      </x:c>
      <x:c r="M85" s="12">
        <x:f>IF(A85="","",I85-L85)</x:f>
      </x:c>
      <x:c r="N85" s="19">
        <x:f>IF(A85="","",IF(ABS(I85-COA_Master!Q84)&lt;=0.01,"OK","CHECK"))</x:f>
      </x:c>
    </x:row>
    <x:row r="86">
      <x:c r="A86" s="18">
        <x:f>IF(COA_Master!A85="","",COA_Master!A85)</x:f>
      </x:c>
      <x:c r="B86" s="18">
        <x:f>IF(A86="","",COA_Master!C85)</x:f>
      </x:c>
      <x:c r="C86" s="18">
        <x:f>IF(A86="","",COA_Master!D85)</x:f>
      </x:c>
      <x:c r="D86" s="18">
        <x:f>IF(A86="","",COA_Master!F85)</x:f>
      </x:c>
      <x:c r="E86" s="18">
        <x:f>IF(A86="","",COA_Master!G85)</x:f>
      </x:c>
      <x:c r="F86" s="12">
        <x:f>IF(A86="","",COA_Master!N85)</x:f>
      </x:c>
      <x:c r="G86" s="12">
        <x:f>IF(A86="","",COA_Master!O85)</x:f>
      </x:c>
      <x:c r="H86" s="12">
        <x:f>IF(A86="","",COA_Master!P85)</x:f>
      </x:c>
      <x:c r="I86" s="12">
        <x:f>IF(A86="","",IF(E86="Debit",F86+G86-H86,F86-G86+H86))</x:f>
      </x:c>
      <x:c r="J86" s="12">
        <x:f>IF(A86="","",IF(E86="Debit",MAX(0,I86),0))</x:f>
      </x:c>
      <x:c r="K86" s="12">
        <x:f>IF(A86="","",IF(E86="Credit",MAX(0,I86),0))</x:f>
      </x:c>
      <x:c r="L86" s="12">
        <x:f>IF(A86="","",COA_Master!R85)</x:f>
      </x:c>
      <x:c r="M86" s="12">
        <x:f>IF(A86="","",I86-L86)</x:f>
      </x:c>
      <x:c r="N86" s="19">
        <x:f>IF(A86="","",IF(ABS(I86-COA_Master!Q85)&lt;=0.01,"OK","CHECK"))</x:f>
      </x:c>
    </x:row>
    <x:row r="87">
      <x:c r="A87" s="18">
        <x:f>IF(COA_Master!A86="","",COA_Master!A86)</x:f>
      </x:c>
      <x:c r="B87" s="18">
        <x:f>IF(A87="","",COA_Master!C86)</x:f>
      </x:c>
      <x:c r="C87" s="18">
        <x:f>IF(A87="","",COA_Master!D86)</x:f>
      </x:c>
      <x:c r="D87" s="18">
        <x:f>IF(A87="","",COA_Master!F86)</x:f>
      </x:c>
      <x:c r="E87" s="18">
        <x:f>IF(A87="","",COA_Master!G86)</x:f>
      </x:c>
      <x:c r="F87" s="12">
        <x:f>IF(A87="","",COA_Master!N86)</x:f>
      </x:c>
      <x:c r="G87" s="12">
        <x:f>IF(A87="","",COA_Master!O86)</x:f>
      </x:c>
      <x:c r="H87" s="12">
        <x:f>IF(A87="","",COA_Master!P86)</x:f>
      </x:c>
      <x:c r="I87" s="12">
        <x:f>IF(A87="","",IF(E87="Debit",F87+G87-H87,F87-G87+H87))</x:f>
      </x:c>
      <x:c r="J87" s="12">
        <x:f>IF(A87="","",IF(E87="Debit",MAX(0,I87),0))</x:f>
      </x:c>
      <x:c r="K87" s="12">
        <x:f>IF(A87="","",IF(E87="Credit",MAX(0,I87),0))</x:f>
      </x:c>
      <x:c r="L87" s="12">
        <x:f>IF(A87="","",COA_Master!R86)</x:f>
      </x:c>
      <x:c r="M87" s="12">
        <x:f>IF(A87="","",I87-L87)</x:f>
      </x:c>
      <x:c r="N87" s="19">
        <x:f>IF(A87="","",IF(ABS(I87-COA_Master!Q86)&lt;=0.01,"OK","CHECK"))</x:f>
      </x:c>
    </x:row>
    <x:row r="88">
      <x:c r="A88" s="18">
        <x:f>IF(COA_Master!A87="","",COA_Master!A87)</x:f>
      </x:c>
      <x:c r="B88" s="18">
        <x:f>IF(A88="","",COA_Master!C87)</x:f>
      </x:c>
      <x:c r="C88" s="18">
        <x:f>IF(A88="","",COA_Master!D87)</x:f>
      </x:c>
      <x:c r="D88" s="18">
        <x:f>IF(A88="","",COA_Master!F87)</x:f>
      </x:c>
      <x:c r="E88" s="18">
        <x:f>IF(A88="","",COA_Master!G87)</x:f>
      </x:c>
      <x:c r="F88" s="12">
        <x:f>IF(A88="","",COA_Master!N87)</x:f>
      </x:c>
      <x:c r="G88" s="12">
        <x:f>IF(A88="","",COA_Master!O87)</x:f>
      </x:c>
      <x:c r="H88" s="12">
        <x:f>IF(A88="","",COA_Master!P87)</x:f>
      </x:c>
      <x:c r="I88" s="12">
        <x:f>IF(A88="","",IF(E88="Debit",F88+G88-H88,F88-G88+H88))</x:f>
      </x:c>
      <x:c r="J88" s="12">
        <x:f>IF(A88="","",IF(E88="Debit",MAX(0,I88),0))</x:f>
      </x:c>
      <x:c r="K88" s="12">
        <x:f>IF(A88="","",IF(E88="Credit",MAX(0,I88),0))</x:f>
      </x:c>
      <x:c r="L88" s="12">
        <x:f>IF(A88="","",COA_Master!R87)</x:f>
      </x:c>
      <x:c r="M88" s="12">
        <x:f>IF(A88="","",I88-L88)</x:f>
      </x:c>
      <x:c r="N88" s="19">
        <x:f>IF(A88="","",IF(ABS(I88-COA_Master!Q87)&lt;=0.01,"OK","CHECK"))</x:f>
      </x:c>
    </x:row>
    <x:row r="89">
      <x:c r="A89" s="18">
        <x:f>IF(COA_Master!A88="","",COA_Master!A88)</x:f>
      </x:c>
      <x:c r="B89" s="18">
        <x:f>IF(A89="","",COA_Master!C88)</x:f>
      </x:c>
      <x:c r="C89" s="18">
        <x:f>IF(A89="","",COA_Master!D88)</x:f>
      </x:c>
      <x:c r="D89" s="18">
        <x:f>IF(A89="","",COA_Master!F88)</x:f>
      </x:c>
      <x:c r="E89" s="18">
        <x:f>IF(A89="","",COA_Master!G88)</x:f>
      </x:c>
      <x:c r="F89" s="12">
        <x:f>IF(A89="","",COA_Master!N88)</x:f>
      </x:c>
      <x:c r="G89" s="12">
        <x:f>IF(A89="","",COA_Master!O88)</x:f>
      </x:c>
      <x:c r="H89" s="12">
        <x:f>IF(A89="","",COA_Master!P88)</x:f>
      </x:c>
      <x:c r="I89" s="12">
        <x:f>IF(A89="","",IF(E89="Debit",F89+G89-H89,F89-G89+H89))</x:f>
      </x:c>
      <x:c r="J89" s="12">
        <x:f>IF(A89="","",IF(E89="Debit",MAX(0,I89),0))</x:f>
      </x:c>
      <x:c r="K89" s="12">
        <x:f>IF(A89="","",IF(E89="Credit",MAX(0,I89),0))</x:f>
      </x:c>
      <x:c r="L89" s="12">
        <x:f>IF(A89="","",COA_Master!R88)</x:f>
      </x:c>
      <x:c r="M89" s="12">
        <x:f>IF(A89="","",I89-L89)</x:f>
      </x:c>
      <x:c r="N89" s="19">
        <x:f>IF(A89="","",IF(ABS(I89-COA_Master!Q88)&lt;=0.01,"OK","CHECK"))</x:f>
      </x:c>
    </x:row>
    <x:row r="90">
      <x:c r="A90" s="18">
        <x:f>IF(COA_Master!A89="","",COA_Master!A89)</x:f>
      </x:c>
      <x:c r="B90" s="18">
        <x:f>IF(A90="","",COA_Master!C89)</x:f>
      </x:c>
      <x:c r="C90" s="18">
        <x:f>IF(A90="","",COA_Master!D89)</x:f>
      </x:c>
      <x:c r="D90" s="18">
        <x:f>IF(A90="","",COA_Master!F89)</x:f>
      </x:c>
      <x:c r="E90" s="18">
        <x:f>IF(A90="","",COA_Master!G89)</x:f>
      </x:c>
      <x:c r="F90" s="12">
        <x:f>IF(A90="","",COA_Master!N89)</x:f>
      </x:c>
      <x:c r="G90" s="12">
        <x:f>IF(A90="","",COA_Master!O89)</x:f>
      </x:c>
      <x:c r="H90" s="12">
        <x:f>IF(A90="","",COA_Master!P89)</x:f>
      </x:c>
      <x:c r="I90" s="12">
        <x:f>IF(A90="","",IF(E90="Debit",F90+G90-H90,F90-G90+H90))</x:f>
      </x:c>
      <x:c r="J90" s="12">
        <x:f>IF(A90="","",IF(E90="Debit",MAX(0,I90),0))</x:f>
      </x:c>
      <x:c r="K90" s="12">
        <x:f>IF(A90="","",IF(E90="Credit",MAX(0,I90),0))</x:f>
      </x:c>
      <x:c r="L90" s="12">
        <x:f>IF(A90="","",COA_Master!R89)</x:f>
      </x:c>
      <x:c r="M90" s="12">
        <x:f>IF(A90="","",I90-L90)</x:f>
      </x:c>
      <x:c r="N90" s="19">
        <x:f>IF(A90="","",IF(ABS(I90-COA_Master!Q89)&lt;=0.01,"OK","CHECK"))</x:f>
      </x:c>
    </x:row>
    <x:row r="91">
      <x:c r="A91" s="18">
        <x:f>IF(COA_Master!A90="","",COA_Master!A90)</x:f>
      </x:c>
      <x:c r="B91" s="18">
        <x:f>IF(A91="","",COA_Master!C90)</x:f>
      </x:c>
      <x:c r="C91" s="18">
        <x:f>IF(A91="","",COA_Master!D90)</x:f>
      </x:c>
      <x:c r="D91" s="18">
        <x:f>IF(A91="","",COA_Master!F90)</x:f>
      </x:c>
      <x:c r="E91" s="18">
        <x:f>IF(A91="","",COA_Master!G90)</x:f>
      </x:c>
      <x:c r="F91" s="12">
        <x:f>IF(A91="","",COA_Master!N90)</x:f>
      </x:c>
      <x:c r="G91" s="12">
        <x:f>IF(A91="","",COA_Master!O90)</x:f>
      </x:c>
      <x:c r="H91" s="12">
        <x:f>IF(A91="","",COA_Master!P90)</x:f>
      </x:c>
      <x:c r="I91" s="12">
        <x:f>IF(A91="","",IF(E91="Debit",F91+G91-H91,F91-G91+H91))</x:f>
      </x:c>
      <x:c r="J91" s="12">
        <x:f>IF(A91="","",IF(E91="Debit",MAX(0,I91),0))</x:f>
      </x:c>
      <x:c r="K91" s="12">
        <x:f>IF(A91="","",IF(E91="Credit",MAX(0,I91),0))</x:f>
      </x:c>
      <x:c r="L91" s="12">
        <x:f>IF(A91="","",COA_Master!R90)</x:f>
      </x:c>
      <x:c r="M91" s="12">
        <x:f>IF(A91="","",I91-L91)</x:f>
      </x:c>
      <x:c r="N91" s="19">
        <x:f>IF(A91="","",IF(ABS(I91-COA_Master!Q90)&lt;=0.01,"OK","CHECK"))</x:f>
      </x:c>
    </x:row>
    <x:row r="92">
      <x:c r="A92" s="18">
        <x:f>IF(COA_Master!A91="","",COA_Master!A91)</x:f>
      </x:c>
      <x:c r="B92" s="18">
        <x:f>IF(A92="","",COA_Master!C91)</x:f>
      </x:c>
      <x:c r="C92" s="18">
        <x:f>IF(A92="","",COA_Master!D91)</x:f>
      </x:c>
      <x:c r="D92" s="18">
        <x:f>IF(A92="","",COA_Master!F91)</x:f>
      </x:c>
      <x:c r="E92" s="18">
        <x:f>IF(A92="","",COA_Master!G91)</x:f>
      </x:c>
      <x:c r="F92" s="12">
        <x:f>IF(A92="","",COA_Master!N91)</x:f>
      </x:c>
      <x:c r="G92" s="12">
        <x:f>IF(A92="","",COA_Master!O91)</x:f>
      </x:c>
      <x:c r="H92" s="12">
        <x:f>IF(A92="","",COA_Master!P91)</x:f>
      </x:c>
      <x:c r="I92" s="12">
        <x:f>IF(A92="","",IF(E92="Debit",F92+G92-H92,F92-G92+H92))</x:f>
      </x:c>
      <x:c r="J92" s="12">
        <x:f>IF(A92="","",IF(E92="Debit",MAX(0,I92),0))</x:f>
      </x:c>
      <x:c r="K92" s="12">
        <x:f>IF(A92="","",IF(E92="Credit",MAX(0,I92),0))</x:f>
      </x:c>
      <x:c r="L92" s="12">
        <x:f>IF(A92="","",COA_Master!R91)</x:f>
      </x:c>
      <x:c r="M92" s="12">
        <x:f>IF(A92="","",I92-L92)</x:f>
      </x:c>
      <x:c r="N92" s="19">
        <x:f>IF(A92="","",IF(ABS(I92-COA_Master!Q91)&lt;=0.01,"OK","CHECK"))</x:f>
      </x:c>
    </x:row>
    <x:row r="93">
      <x:c r="A93" s="18">
        <x:f>IF(COA_Master!A92="","",COA_Master!A92)</x:f>
      </x:c>
      <x:c r="B93" s="18">
        <x:f>IF(A93="","",COA_Master!C92)</x:f>
      </x:c>
      <x:c r="C93" s="18">
        <x:f>IF(A93="","",COA_Master!D92)</x:f>
      </x:c>
      <x:c r="D93" s="18">
        <x:f>IF(A93="","",COA_Master!F92)</x:f>
      </x:c>
      <x:c r="E93" s="18">
        <x:f>IF(A93="","",COA_Master!G92)</x:f>
      </x:c>
      <x:c r="F93" s="12">
        <x:f>IF(A93="","",COA_Master!N92)</x:f>
      </x:c>
      <x:c r="G93" s="12">
        <x:f>IF(A93="","",COA_Master!O92)</x:f>
      </x:c>
      <x:c r="H93" s="12">
        <x:f>IF(A93="","",COA_Master!P92)</x:f>
      </x:c>
      <x:c r="I93" s="12">
        <x:f>IF(A93="","",IF(E93="Debit",F93+G93-H93,F93-G93+H93))</x:f>
      </x:c>
      <x:c r="J93" s="12">
        <x:f>IF(A93="","",IF(E93="Debit",MAX(0,I93),0))</x:f>
      </x:c>
      <x:c r="K93" s="12">
        <x:f>IF(A93="","",IF(E93="Credit",MAX(0,I93),0))</x:f>
      </x:c>
      <x:c r="L93" s="12">
        <x:f>IF(A93="","",COA_Master!R92)</x:f>
      </x:c>
      <x:c r="M93" s="12">
        <x:f>IF(A93="","",I93-L93)</x:f>
      </x:c>
      <x:c r="N93" s="19">
        <x:f>IF(A93="","",IF(ABS(I93-COA_Master!Q92)&lt;=0.01,"OK","CHECK"))</x:f>
      </x:c>
    </x:row>
    <x:row r="94">
      <x:c r="A94" s="18">
        <x:f>IF(COA_Master!A93="","",COA_Master!A93)</x:f>
      </x:c>
      <x:c r="B94" s="18">
        <x:f>IF(A94="","",COA_Master!C93)</x:f>
      </x:c>
      <x:c r="C94" s="18">
        <x:f>IF(A94="","",COA_Master!D93)</x:f>
      </x:c>
      <x:c r="D94" s="18">
        <x:f>IF(A94="","",COA_Master!F93)</x:f>
      </x:c>
      <x:c r="E94" s="18">
        <x:f>IF(A94="","",COA_Master!G93)</x:f>
      </x:c>
      <x:c r="F94" s="12">
        <x:f>IF(A94="","",COA_Master!N93)</x:f>
      </x:c>
      <x:c r="G94" s="12">
        <x:f>IF(A94="","",COA_Master!O93)</x:f>
      </x:c>
      <x:c r="H94" s="12">
        <x:f>IF(A94="","",COA_Master!P93)</x:f>
      </x:c>
      <x:c r="I94" s="12">
        <x:f>IF(A94="","",IF(E94="Debit",F94+G94-H94,F94-G94+H94))</x:f>
      </x:c>
      <x:c r="J94" s="12">
        <x:f>IF(A94="","",IF(E94="Debit",MAX(0,I94),0))</x:f>
      </x:c>
      <x:c r="K94" s="12">
        <x:f>IF(A94="","",IF(E94="Credit",MAX(0,I94),0))</x:f>
      </x:c>
      <x:c r="L94" s="12">
        <x:f>IF(A94="","",COA_Master!R93)</x:f>
      </x:c>
      <x:c r="M94" s="12">
        <x:f>IF(A94="","",I94-L94)</x:f>
      </x:c>
      <x:c r="N94" s="19">
        <x:f>IF(A94="","",IF(ABS(I94-COA_Master!Q93)&lt;=0.01,"OK","CHECK"))</x:f>
      </x:c>
    </x:row>
    <x:row r="95">
      <x:c r="A95" s="18">
        <x:f>IF(COA_Master!A94="","",COA_Master!A94)</x:f>
      </x:c>
      <x:c r="B95" s="18">
        <x:f>IF(A95="","",COA_Master!C94)</x:f>
      </x:c>
      <x:c r="C95" s="18">
        <x:f>IF(A95="","",COA_Master!D94)</x:f>
      </x:c>
      <x:c r="D95" s="18">
        <x:f>IF(A95="","",COA_Master!F94)</x:f>
      </x:c>
      <x:c r="E95" s="18">
        <x:f>IF(A95="","",COA_Master!G94)</x:f>
      </x:c>
      <x:c r="F95" s="12">
        <x:f>IF(A95="","",COA_Master!N94)</x:f>
      </x:c>
      <x:c r="G95" s="12">
        <x:f>IF(A95="","",COA_Master!O94)</x:f>
      </x:c>
      <x:c r="H95" s="12">
        <x:f>IF(A95="","",COA_Master!P94)</x:f>
      </x:c>
      <x:c r="I95" s="12">
        <x:f>IF(A95="","",IF(E95="Debit",F95+G95-H95,F95-G95+H95))</x:f>
      </x:c>
      <x:c r="J95" s="12">
        <x:f>IF(A95="","",IF(E95="Debit",MAX(0,I95),0))</x:f>
      </x:c>
      <x:c r="K95" s="12">
        <x:f>IF(A95="","",IF(E95="Credit",MAX(0,I95),0))</x:f>
      </x:c>
      <x:c r="L95" s="12">
        <x:f>IF(A95="","",COA_Master!R94)</x:f>
      </x:c>
      <x:c r="M95" s="12">
        <x:f>IF(A95="","",I95-L95)</x:f>
      </x:c>
      <x:c r="N95" s="19">
        <x:f>IF(A95="","",IF(ABS(I95-COA_Master!Q94)&lt;=0.01,"OK","CHECK"))</x:f>
      </x:c>
    </x:row>
    <x:row r="96">
      <x:c r="A96" s="18">
        <x:f>IF(COA_Master!A95="","",COA_Master!A95)</x:f>
      </x:c>
      <x:c r="B96" s="18">
        <x:f>IF(A96="","",COA_Master!C95)</x:f>
      </x:c>
      <x:c r="C96" s="18">
        <x:f>IF(A96="","",COA_Master!D95)</x:f>
      </x:c>
      <x:c r="D96" s="18">
        <x:f>IF(A96="","",COA_Master!F95)</x:f>
      </x:c>
      <x:c r="E96" s="18">
        <x:f>IF(A96="","",COA_Master!G95)</x:f>
      </x:c>
      <x:c r="F96" s="12">
        <x:f>IF(A96="","",COA_Master!N95)</x:f>
      </x:c>
      <x:c r="G96" s="12">
        <x:f>IF(A96="","",COA_Master!O95)</x:f>
      </x:c>
      <x:c r="H96" s="12">
        <x:f>IF(A96="","",COA_Master!P95)</x:f>
      </x:c>
      <x:c r="I96" s="12">
        <x:f>IF(A96="","",IF(E96="Debit",F96+G96-H96,F96-G96+H96))</x:f>
      </x:c>
      <x:c r="J96" s="12">
        <x:f>IF(A96="","",IF(E96="Debit",MAX(0,I96),0))</x:f>
      </x:c>
      <x:c r="K96" s="12">
        <x:f>IF(A96="","",IF(E96="Credit",MAX(0,I96),0))</x:f>
      </x:c>
      <x:c r="L96" s="12">
        <x:f>IF(A96="","",COA_Master!R95)</x:f>
      </x:c>
      <x:c r="M96" s="12">
        <x:f>IF(A96="","",I96-L96)</x:f>
      </x:c>
      <x:c r="N96" s="19">
        <x:f>IF(A96="","",IF(ABS(I96-COA_Master!Q95)&lt;=0.01,"OK","CHECK"))</x:f>
      </x:c>
    </x:row>
    <x:row r="97">
      <x:c r="A97" s="18">
        <x:f>IF(COA_Master!A96="","",COA_Master!A96)</x:f>
      </x:c>
      <x:c r="B97" s="18">
        <x:f>IF(A97="","",COA_Master!C96)</x:f>
      </x:c>
      <x:c r="C97" s="18">
        <x:f>IF(A97="","",COA_Master!D96)</x:f>
      </x:c>
      <x:c r="D97" s="18">
        <x:f>IF(A97="","",COA_Master!F96)</x:f>
      </x:c>
      <x:c r="E97" s="18">
        <x:f>IF(A97="","",COA_Master!G96)</x:f>
      </x:c>
      <x:c r="F97" s="12">
        <x:f>IF(A97="","",COA_Master!N96)</x:f>
      </x:c>
      <x:c r="G97" s="12">
        <x:f>IF(A97="","",COA_Master!O96)</x:f>
      </x:c>
      <x:c r="H97" s="12">
        <x:f>IF(A97="","",COA_Master!P96)</x:f>
      </x:c>
      <x:c r="I97" s="12">
        <x:f>IF(A97="","",IF(E97="Debit",F97+G97-H97,F97-G97+H97))</x:f>
      </x:c>
      <x:c r="J97" s="12">
        <x:f>IF(A97="","",IF(E97="Debit",MAX(0,I97),0))</x:f>
      </x:c>
      <x:c r="K97" s="12">
        <x:f>IF(A97="","",IF(E97="Credit",MAX(0,I97),0))</x:f>
      </x:c>
      <x:c r="L97" s="12">
        <x:f>IF(A97="","",COA_Master!R96)</x:f>
      </x:c>
      <x:c r="M97" s="12">
        <x:f>IF(A97="","",I97-L97)</x:f>
      </x:c>
      <x:c r="N97" s="19">
        <x:f>IF(A97="","",IF(ABS(I97-COA_Master!Q96)&lt;=0.01,"OK","CHECK"))</x:f>
      </x:c>
    </x:row>
    <x:row r="98">
      <x:c r="A98" s="18">
        <x:f>IF(COA_Master!A97="","",COA_Master!A97)</x:f>
      </x:c>
      <x:c r="B98" s="18">
        <x:f>IF(A98="","",COA_Master!C97)</x:f>
      </x:c>
      <x:c r="C98" s="18">
        <x:f>IF(A98="","",COA_Master!D97)</x:f>
      </x:c>
      <x:c r="D98" s="18">
        <x:f>IF(A98="","",COA_Master!F97)</x:f>
      </x:c>
      <x:c r="E98" s="18">
        <x:f>IF(A98="","",COA_Master!G97)</x:f>
      </x:c>
      <x:c r="F98" s="12">
        <x:f>IF(A98="","",COA_Master!N97)</x:f>
      </x:c>
      <x:c r="G98" s="12">
        <x:f>IF(A98="","",COA_Master!O97)</x:f>
      </x:c>
      <x:c r="H98" s="12">
        <x:f>IF(A98="","",COA_Master!P97)</x:f>
      </x:c>
      <x:c r="I98" s="12">
        <x:f>IF(A98="","",IF(E98="Debit",F98+G98-H98,F98-G98+H98))</x:f>
      </x:c>
      <x:c r="J98" s="12">
        <x:f>IF(A98="","",IF(E98="Debit",MAX(0,I98),0))</x:f>
      </x:c>
      <x:c r="K98" s="12">
        <x:f>IF(A98="","",IF(E98="Credit",MAX(0,I98),0))</x:f>
      </x:c>
      <x:c r="L98" s="12">
        <x:f>IF(A98="","",COA_Master!R97)</x:f>
      </x:c>
      <x:c r="M98" s="12">
        <x:f>IF(A98="","",I98-L98)</x:f>
      </x:c>
      <x:c r="N98" s="19">
        <x:f>IF(A98="","",IF(ABS(I98-COA_Master!Q97)&lt;=0.01,"OK","CHECK"))</x:f>
      </x:c>
    </x:row>
    <x:row r="99">
      <x:c r="A99" s="18">
        <x:f>IF(COA_Master!A98="","",COA_Master!A98)</x:f>
      </x:c>
      <x:c r="B99" s="18">
        <x:f>IF(A99="","",COA_Master!C98)</x:f>
      </x:c>
      <x:c r="C99" s="18">
        <x:f>IF(A99="","",COA_Master!D98)</x:f>
      </x:c>
      <x:c r="D99" s="18">
        <x:f>IF(A99="","",COA_Master!F98)</x:f>
      </x:c>
      <x:c r="E99" s="18">
        <x:f>IF(A99="","",COA_Master!G98)</x:f>
      </x:c>
      <x:c r="F99" s="12">
        <x:f>IF(A99="","",COA_Master!N98)</x:f>
      </x:c>
      <x:c r="G99" s="12">
        <x:f>IF(A99="","",COA_Master!O98)</x:f>
      </x:c>
      <x:c r="H99" s="12">
        <x:f>IF(A99="","",COA_Master!P98)</x:f>
      </x:c>
      <x:c r="I99" s="12">
        <x:f>IF(A99="","",IF(E99="Debit",F99+G99-H99,F99-G99+H99))</x:f>
      </x:c>
      <x:c r="J99" s="12">
        <x:f>IF(A99="","",IF(E99="Debit",MAX(0,I99),0))</x:f>
      </x:c>
      <x:c r="K99" s="12">
        <x:f>IF(A99="","",IF(E99="Credit",MAX(0,I99),0))</x:f>
      </x:c>
      <x:c r="L99" s="12">
        <x:f>IF(A99="","",COA_Master!R98)</x:f>
      </x:c>
      <x:c r="M99" s="12">
        <x:f>IF(A99="","",I99-L99)</x:f>
      </x:c>
      <x:c r="N99" s="19">
        <x:f>IF(A99="","",IF(ABS(I99-COA_Master!Q98)&lt;=0.01,"OK","CHECK"))</x:f>
      </x:c>
    </x:row>
    <x:row r="100">
      <x:c r="A100" s="18">
        <x:f>IF(COA_Master!A99="","",COA_Master!A99)</x:f>
      </x:c>
      <x:c r="B100" s="18">
        <x:f>IF(A100="","",COA_Master!C99)</x:f>
      </x:c>
      <x:c r="C100" s="18">
        <x:f>IF(A100="","",COA_Master!D99)</x:f>
      </x:c>
      <x:c r="D100" s="18">
        <x:f>IF(A100="","",COA_Master!F99)</x:f>
      </x:c>
      <x:c r="E100" s="18">
        <x:f>IF(A100="","",COA_Master!G99)</x:f>
      </x:c>
      <x:c r="F100" s="12">
        <x:f>IF(A100="","",COA_Master!N99)</x:f>
      </x:c>
      <x:c r="G100" s="12">
        <x:f>IF(A100="","",COA_Master!O99)</x:f>
      </x:c>
      <x:c r="H100" s="12">
        <x:f>IF(A100="","",COA_Master!P99)</x:f>
      </x:c>
      <x:c r="I100" s="12">
        <x:f>IF(A100="","",IF(E100="Debit",F100+G100-H100,F100-G100+H100))</x:f>
      </x:c>
      <x:c r="J100" s="12">
        <x:f>IF(A100="","",IF(E100="Debit",MAX(0,I100),0))</x:f>
      </x:c>
      <x:c r="K100" s="12">
        <x:f>IF(A100="","",IF(E100="Credit",MAX(0,I100),0))</x:f>
      </x:c>
      <x:c r="L100" s="12">
        <x:f>IF(A100="","",COA_Master!R99)</x:f>
      </x:c>
      <x:c r="M100" s="12">
        <x:f>IF(A100="","",I100-L100)</x:f>
      </x:c>
      <x:c r="N100" s="19">
        <x:f>IF(A100="","",IF(ABS(I100-COA_Master!Q99)&lt;=0.01,"OK","CHECK"))</x:f>
      </x:c>
    </x:row>
    <x:row r="101">
      <x:c r="A101" s="18">
        <x:f>IF(COA_Master!A100="","",COA_Master!A100)</x:f>
      </x:c>
      <x:c r="B101" s="18">
        <x:f>IF(A101="","",COA_Master!C100)</x:f>
      </x:c>
      <x:c r="C101" s="18">
        <x:f>IF(A101="","",COA_Master!D100)</x:f>
      </x:c>
      <x:c r="D101" s="18">
        <x:f>IF(A101="","",COA_Master!F100)</x:f>
      </x:c>
      <x:c r="E101" s="18">
        <x:f>IF(A101="","",COA_Master!G100)</x:f>
      </x:c>
      <x:c r="F101" s="12">
        <x:f>IF(A101="","",COA_Master!N100)</x:f>
      </x:c>
      <x:c r="G101" s="12">
        <x:f>IF(A101="","",COA_Master!O100)</x:f>
      </x:c>
      <x:c r="H101" s="12">
        <x:f>IF(A101="","",COA_Master!P100)</x:f>
      </x:c>
      <x:c r="I101" s="12">
        <x:f>IF(A101="","",IF(E101="Debit",F101+G101-H101,F101-G101+H101))</x:f>
      </x:c>
      <x:c r="J101" s="12">
        <x:f>IF(A101="","",IF(E101="Debit",MAX(0,I101),0))</x:f>
      </x:c>
      <x:c r="K101" s="12">
        <x:f>IF(A101="","",IF(E101="Credit",MAX(0,I101),0))</x:f>
      </x:c>
      <x:c r="L101" s="12">
        <x:f>IF(A101="","",COA_Master!R100)</x:f>
      </x:c>
      <x:c r="M101" s="12">
        <x:f>IF(A101="","",I101-L101)</x:f>
      </x:c>
      <x:c r="N101" s="19">
        <x:f>IF(A101="","",IF(ABS(I101-COA_Master!Q100)&lt;=0.01,"OK","CHECK"))</x:f>
      </x:c>
    </x:row>
    <x:row r="102">
      <x:c r="A102" s="18">
        <x:f>IF(COA_Master!A101="","",COA_Master!A101)</x:f>
      </x:c>
      <x:c r="B102" s="18">
        <x:f>IF(A102="","",COA_Master!C101)</x:f>
      </x:c>
      <x:c r="C102" s="18">
        <x:f>IF(A102="","",COA_Master!D101)</x:f>
      </x:c>
      <x:c r="D102" s="18">
        <x:f>IF(A102="","",COA_Master!F101)</x:f>
      </x:c>
      <x:c r="E102" s="18">
        <x:f>IF(A102="","",COA_Master!G101)</x:f>
      </x:c>
      <x:c r="F102" s="12">
        <x:f>IF(A102="","",COA_Master!N101)</x:f>
      </x:c>
      <x:c r="G102" s="12">
        <x:f>IF(A102="","",COA_Master!O101)</x:f>
      </x:c>
      <x:c r="H102" s="12">
        <x:f>IF(A102="","",COA_Master!P101)</x:f>
      </x:c>
      <x:c r="I102" s="12">
        <x:f>IF(A102="","",IF(E102="Debit",F102+G102-H102,F102-G102+H102))</x:f>
      </x:c>
      <x:c r="J102" s="12">
        <x:f>IF(A102="","",IF(E102="Debit",MAX(0,I102),0))</x:f>
      </x:c>
      <x:c r="K102" s="12">
        <x:f>IF(A102="","",IF(E102="Credit",MAX(0,I102),0))</x:f>
      </x:c>
      <x:c r="L102" s="12">
        <x:f>IF(A102="","",COA_Master!R101)</x:f>
      </x:c>
      <x:c r="M102" s="12">
        <x:f>IF(A102="","",I102-L102)</x:f>
      </x:c>
      <x:c r="N102" s="19">
        <x:f>IF(A102="","",IF(ABS(I102-COA_Master!Q101)&lt;=0.01,"OK","CHECK"))</x:f>
      </x:c>
    </x:row>
    <x:row r="103">
      <x:c r="A103" s="18">
        <x:f>IF(COA_Master!A102="","",COA_Master!A102)</x:f>
      </x:c>
      <x:c r="B103" s="18">
        <x:f>IF(A103="","",COA_Master!C102)</x:f>
      </x:c>
      <x:c r="C103" s="18">
        <x:f>IF(A103="","",COA_Master!D102)</x:f>
      </x:c>
      <x:c r="D103" s="18">
        <x:f>IF(A103="","",COA_Master!F102)</x:f>
      </x:c>
      <x:c r="E103" s="18">
        <x:f>IF(A103="","",COA_Master!G102)</x:f>
      </x:c>
      <x:c r="F103" s="12">
        <x:f>IF(A103="","",COA_Master!N102)</x:f>
      </x:c>
      <x:c r="G103" s="12">
        <x:f>IF(A103="","",COA_Master!O102)</x:f>
      </x:c>
      <x:c r="H103" s="12">
        <x:f>IF(A103="","",COA_Master!P102)</x:f>
      </x:c>
      <x:c r="I103" s="12">
        <x:f>IF(A103="","",IF(E103="Debit",F103+G103-H103,F103-G103+H103))</x:f>
      </x:c>
      <x:c r="J103" s="12">
        <x:f>IF(A103="","",IF(E103="Debit",MAX(0,I103),0))</x:f>
      </x:c>
      <x:c r="K103" s="12">
        <x:f>IF(A103="","",IF(E103="Credit",MAX(0,I103),0))</x:f>
      </x:c>
      <x:c r="L103" s="12">
        <x:f>IF(A103="","",COA_Master!R102)</x:f>
      </x:c>
      <x:c r="M103" s="12">
        <x:f>IF(A103="","",I103-L103)</x:f>
      </x:c>
      <x:c r="N103" s="19">
        <x:f>IF(A103="","",IF(ABS(I103-COA_Master!Q102)&lt;=0.01,"OK","CHECK"))</x:f>
      </x:c>
    </x:row>
    <x:row r="104">
      <x:c r="A104" s="18">
        <x:f>IF(COA_Master!A103="","",COA_Master!A103)</x:f>
      </x:c>
      <x:c r="B104" s="18">
        <x:f>IF(A104="","",COA_Master!C103)</x:f>
      </x:c>
      <x:c r="C104" s="18">
        <x:f>IF(A104="","",COA_Master!D103)</x:f>
      </x:c>
      <x:c r="D104" s="18">
        <x:f>IF(A104="","",COA_Master!F103)</x:f>
      </x:c>
      <x:c r="E104" s="18">
        <x:f>IF(A104="","",COA_Master!G103)</x:f>
      </x:c>
      <x:c r="F104" s="12">
        <x:f>IF(A104="","",COA_Master!N103)</x:f>
      </x:c>
      <x:c r="G104" s="12">
        <x:f>IF(A104="","",COA_Master!O103)</x:f>
      </x:c>
      <x:c r="H104" s="12">
        <x:f>IF(A104="","",COA_Master!P103)</x:f>
      </x:c>
      <x:c r="I104" s="12">
        <x:f>IF(A104="","",IF(E104="Debit",F104+G104-H104,F104-G104+H104))</x:f>
      </x:c>
      <x:c r="J104" s="12">
        <x:f>IF(A104="","",IF(E104="Debit",MAX(0,I104),0))</x:f>
      </x:c>
      <x:c r="K104" s="12">
        <x:f>IF(A104="","",IF(E104="Credit",MAX(0,I104),0))</x:f>
      </x:c>
      <x:c r="L104" s="12">
        <x:f>IF(A104="","",COA_Master!R103)</x:f>
      </x:c>
      <x:c r="M104" s="12">
        <x:f>IF(A104="","",I104-L104)</x:f>
      </x:c>
      <x:c r="N104" s="19">
        <x:f>IF(A104="","",IF(ABS(I104-COA_Master!Q103)&lt;=0.01,"OK","CHECK"))</x:f>
      </x:c>
    </x:row>
    <x:row r="105">
      <x:c r="A105" s="18">
        <x:f>IF(COA_Master!A104="","",COA_Master!A104)</x:f>
      </x:c>
      <x:c r="B105" s="18">
        <x:f>IF(A105="","",COA_Master!C104)</x:f>
      </x:c>
      <x:c r="C105" s="18">
        <x:f>IF(A105="","",COA_Master!D104)</x:f>
      </x:c>
      <x:c r="D105" s="18">
        <x:f>IF(A105="","",COA_Master!F104)</x:f>
      </x:c>
      <x:c r="E105" s="18">
        <x:f>IF(A105="","",COA_Master!G104)</x:f>
      </x:c>
      <x:c r="F105" s="12">
        <x:f>IF(A105="","",COA_Master!N104)</x:f>
      </x:c>
      <x:c r="G105" s="12">
        <x:f>IF(A105="","",COA_Master!O104)</x:f>
      </x:c>
      <x:c r="H105" s="12">
        <x:f>IF(A105="","",COA_Master!P104)</x:f>
      </x:c>
      <x:c r="I105" s="12">
        <x:f>IF(A105="","",IF(E105="Debit",F105+G105-H105,F105-G105+H105))</x:f>
      </x:c>
      <x:c r="J105" s="12">
        <x:f>IF(A105="","",IF(E105="Debit",MAX(0,I105),0))</x:f>
      </x:c>
      <x:c r="K105" s="12">
        <x:f>IF(A105="","",IF(E105="Credit",MAX(0,I105),0))</x:f>
      </x:c>
      <x:c r="L105" s="12">
        <x:f>IF(A105="","",COA_Master!R104)</x:f>
      </x:c>
      <x:c r="M105" s="12">
        <x:f>IF(A105="","",I105-L105)</x:f>
      </x:c>
      <x:c r="N105" s="19">
        <x:f>IF(A105="","",IF(ABS(I105-COA_Master!Q104)&lt;=0.01,"OK","CHECK"))</x:f>
      </x:c>
    </x:row>
    <x:row r="106">
      <x:c r="A106" s="18">
        <x:f>IF(COA_Master!A105="","",COA_Master!A105)</x:f>
      </x:c>
      <x:c r="B106" s="18">
        <x:f>IF(A106="","",COA_Master!C105)</x:f>
      </x:c>
      <x:c r="C106" s="18">
        <x:f>IF(A106="","",COA_Master!D105)</x:f>
      </x:c>
      <x:c r="D106" s="18">
        <x:f>IF(A106="","",COA_Master!F105)</x:f>
      </x:c>
      <x:c r="E106" s="18">
        <x:f>IF(A106="","",COA_Master!G105)</x:f>
      </x:c>
      <x:c r="F106" s="12">
        <x:f>IF(A106="","",COA_Master!N105)</x:f>
      </x:c>
      <x:c r="G106" s="12">
        <x:f>IF(A106="","",COA_Master!O105)</x:f>
      </x:c>
      <x:c r="H106" s="12">
        <x:f>IF(A106="","",COA_Master!P105)</x:f>
      </x:c>
      <x:c r="I106" s="12">
        <x:f>IF(A106="","",IF(E106="Debit",F106+G106-H106,F106-G106+H106))</x:f>
      </x:c>
      <x:c r="J106" s="12">
        <x:f>IF(A106="","",IF(E106="Debit",MAX(0,I106),0))</x:f>
      </x:c>
      <x:c r="K106" s="12">
        <x:f>IF(A106="","",IF(E106="Credit",MAX(0,I106),0))</x:f>
      </x:c>
      <x:c r="L106" s="12">
        <x:f>IF(A106="","",COA_Master!R105)</x:f>
      </x:c>
      <x:c r="M106" s="12">
        <x:f>IF(A106="","",I106-L106)</x:f>
      </x:c>
      <x:c r="N106" s="19">
        <x:f>IF(A106="","",IF(ABS(I106-COA_Master!Q105)&lt;=0.01,"OK","CHECK"))</x:f>
      </x:c>
    </x:row>
    <x:row r="107">
      <x:c r="A107" s="18">
        <x:f>IF(COA_Master!A106="","",COA_Master!A106)</x:f>
      </x:c>
      <x:c r="B107" s="18">
        <x:f>IF(A107="","",COA_Master!C106)</x:f>
      </x:c>
      <x:c r="C107" s="18">
        <x:f>IF(A107="","",COA_Master!D106)</x:f>
      </x:c>
      <x:c r="D107" s="18">
        <x:f>IF(A107="","",COA_Master!F106)</x:f>
      </x:c>
      <x:c r="E107" s="18">
        <x:f>IF(A107="","",COA_Master!G106)</x:f>
      </x:c>
      <x:c r="F107" s="12">
        <x:f>IF(A107="","",COA_Master!N106)</x:f>
      </x:c>
      <x:c r="G107" s="12">
        <x:f>IF(A107="","",COA_Master!O106)</x:f>
      </x:c>
      <x:c r="H107" s="12">
        <x:f>IF(A107="","",COA_Master!P106)</x:f>
      </x:c>
      <x:c r="I107" s="12">
        <x:f>IF(A107="","",IF(E107="Debit",F107+G107-H107,F107-G107+H107))</x:f>
      </x:c>
      <x:c r="J107" s="12">
        <x:f>IF(A107="","",IF(E107="Debit",MAX(0,I107),0))</x:f>
      </x:c>
      <x:c r="K107" s="12">
        <x:f>IF(A107="","",IF(E107="Credit",MAX(0,I107),0))</x:f>
      </x:c>
      <x:c r="L107" s="12">
        <x:f>IF(A107="","",COA_Master!R106)</x:f>
      </x:c>
      <x:c r="M107" s="12">
        <x:f>IF(A107="","",I107-L107)</x:f>
      </x:c>
      <x:c r="N107" s="19">
        <x:f>IF(A107="","",IF(ABS(I107-COA_Master!Q106)&lt;=0.01,"OK","CHECK"))</x:f>
      </x:c>
    </x:row>
    <x:row r="108">
      <x:c r="A108" s="18">
        <x:f>IF(COA_Master!A107="","",COA_Master!A107)</x:f>
      </x:c>
      <x:c r="B108" s="18">
        <x:f>IF(A108="","",COA_Master!C107)</x:f>
      </x:c>
      <x:c r="C108" s="18">
        <x:f>IF(A108="","",COA_Master!D107)</x:f>
      </x:c>
      <x:c r="D108" s="18">
        <x:f>IF(A108="","",COA_Master!F107)</x:f>
      </x:c>
      <x:c r="E108" s="18">
        <x:f>IF(A108="","",COA_Master!G107)</x:f>
      </x:c>
      <x:c r="F108" s="12">
        <x:f>IF(A108="","",COA_Master!N107)</x:f>
      </x:c>
      <x:c r="G108" s="12">
        <x:f>IF(A108="","",COA_Master!O107)</x:f>
      </x:c>
      <x:c r="H108" s="12">
        <x:f>IF(A108="","",COA_Master!P107)</x:f>
      </x:c>
      <x:c r="I108" s="12">
        <x:f>IF(A108="","",IF(E108="Debit",F108+G108-H108,F108-G108+H108))</x:f>
      </x:c>
      <x:c r="J108" s="12">
        <x:f>IF(A108="","",IF(E108="Debit",MAX(0,I108),0))</x:f>
      </x:c>
      <x:c r="K108" s="12">
        <x:f>IF(A108="","",IF(E108="Credit",MAX(0,I108),0))</x:f>
      </x:c>
      <x:c r="L108" s="12">
        <x:f>IF(A108="","",COA_Master!R107)</x:f>
      </x:c>
      <x:c r="M108" s="12">
        <x:f>IF(A108="","",I108-L108)</x:f>
      </x:c>
      <x:c r="N108" s="19">
        <x:f>IF(A108="","",IF(ABS(I108-COA_Master!Q107)&lt;=0.01,"OK","CHECK"))</x:f>
      </x:c>
    </x:row>
    <x:row r="109">
      <x:c r="A109" s="18">
        <x:f>IF(COA_Master!A108="","",COA_Master!A108)</x:f>
      </x:c>
      <x:c r="B109" s="18">
        <x:f>IF(A109="","",COA_Master!C108)</x:f>
      </x:c>
      <x:c r="C109" s="18">
        <x:f>IF(A109="","",COA_Master!D108)</x:f>
      </x:c>
      <x:c r="D109" s="18">
        <x:f>IF(A109="","",COA_Master!F108)</x:f>
      </x:c>
      <x:c r="E109" s="18">
        <x:f>IF(A109="","",COA_Master!G108)</x:f>
      </x:c>
      <x:c r="F109" s="12">
        <x:f>IF(A109="","",COA_Master!N108)</x:f>
      </x:c>
      <x:c r="G109" s="12">
        <x:f>IF(A109="","",COA_Master!O108)</x:f>
      </x:c>
      <x:c r="H109" s="12">
        <x:f>IF(A109="","",COA_Master!P108)</x:f>
      </x:c>
      <x:c r="I109" s="12">
        <x:f>IF(A109="","",IF(E109="Debit",F109+G109-H109,F109-G109+H109))</x:f>
      </x:c>
      <x:c r="J109" s="12">
        <x:f>IF(A109="","",IF(E109="Debit",MAX(0,I109),0))</x:f>
      </x:c>
      <x:c r="K109" s="12">
        <x:f>IF(A109="","",IF(E109="Credit",MAX(0,I109),0))</x:f>
      </x:c>
      <x:c r="L109" s="12">
        <x:f>IF(A109="","",COA_Master!R108)</x:f>
      </x:c>
      <x:c r="M109" s="12">
        <x:f>IF(A109="","",I109-L109)</x:f>
      </x:c>
      <x:c r="N109" s="19">
        <x:f>IF(A109="","",IF(ABS(I109-COA_Master!Q108)&lt;=0.01,"OK","CHECK"))</x:f>
      </x:c>
    </x:row>
    <x:row r="110">
      <x:c r="A110" s="18">
        <x:f>IF(COA_Master!A109="","",COA_Master!A109)</x:f>
      </x:c>
      <x:c r="B110" s="18">
        <x:f>IF(A110="","",COA_Master!C109)</x:f>
      </x:c>
      <x:c r="C110" s="18">
        <x:f>IF(A110="","",COA_Master!D109)</x:f>
      </x:c>
      <x:c r="D110" s="18">
        <x:f>IF(A110="","",COA_Master!F109)</x:f>
      </x:c>
      <x:c r="E110" s="18">
        <x:f>IF(A110="","",COA_Master!G109)</x:f>
      </x:c>
      <x:c r="F110" s="12">
        <x:f>IF(A110="","",COA_Master!N109)</x:f>
      </x:c>
      <x:c r="G110" s="12">
        <x:f>IF(A110="","",COA_Master!O109)</x:f>
      </x:c>
      <x:c r="H110" s="12">
        <x:f>IF(A110="","",COA_Master!P109)</x:f>
      </x:c>
      <x:c r="I110" s="12">
        <x:f>IF(A110="","",IF(E110="Debit",F110+G110-H110,F110-G110+H110))</x:f>
      </x:c>
      <x:c r="J110" s="12">
        <x:f>IF(A110="","",IF(E110="Debit",MAX(0,I110),0))</x:f>
      </x:c>
      <x:c r="K110" s="12">
        <x:f>IF(A110="","",IF(E110="Credit",MAX(0,I110),0))</x:f>
      </x:c>
      <x:c r="L110" s="12">
        <x:f>IF(A110="","",COA_Master!R109)</x:f>
      </x:c>
      <x:c r="M110" s="12">
        <x:f>IF(A110="","",I110-L110)</x:f>
      </x:c>
      <x:c r="N110" s="19">
        <x:f>IF(A110="","",IF(ABS(I110-COA_Master!Q109)&lt;=0.01,"OK","CHECK"))</x:f>
      </x:c>
    </x:row>
    <x:row r="111">
      <x:c r="A111" s="18">
        <x:f>IF(COA_Master!A110="","",COA_Master!A110)</x:f>
      </x:c>
      <x:c r="B111" s="18">
        <x:f>IF(A111="","",COA_Master!C110)</x:f>
      </x:c>
      <x:c r="C111" s="18">
        <x:f>IF(A111="","",COA_Master!D110)</x:f>
      </x:c>
      <x:c r="D111" s="18">
        <x:f>IF(A111="","",COA_Master!F110)</x:f>
      </x:c>
      <x:c r="E111" s="18">
        <x:f>IF(A111="","",COA_Master!G110)</x:f>
      </x:c>
      <x:c r="F111" s="12">
        <x:f>IF(A111="","",COA_Master!N110)</x:f>
      </x:c>
      <x:c r="G111" s="12">
        <x:f>IF(A111="","",COA_Master!O110)</x:f>
      </x:c>
      <x:c r="H111" s="12">
        <x:f>IF(A111="","",COA_Master!P110)</x:f>
      </x:c>
      <x:c r="I111" s="12">
        <x:f>IF(A111="","",IF(E111="Debit",F111+G111-H111,F111-G111+H111))</x:f>
      </x:c>
      <x:c r="J111" s="12">
        <x:f>IF(A111="","",IF(E111="Debit",MAX(0,I111),0))</x:f>
      </x:c>
      <x:c r="K111" s="12">
        <x:f>IF(A111="","",IF(E111="Credit",MAX(0,I111),0))</x:f>
      </x:c>
      <x:c r="L111" s="12">
        <x:f>IF(A111="","",COA_Master!R110)</x:f>
      </x:c>
      <x:c r="M111" s="12">
        <x:f>IF(A111="","",I111-L111)</x:f>
      </x:c>
      <x:c r="N111" s="19">
        <x:f>IF(A111="","",IF(ABS(I111-COA_Master!Q110)&lt;=0.01,"OK","CHECK"))</x:f>
      </x:c>
    </x:row>
    <x:row r="112">
      <x:c r="A112" s="18">
        <x:f>IF(COA_Master!A111="","",COA_Master!A111)</x:f>
      </x:c>
      <x:c r="B112" s="18">
        <x:f>IF(A112="","",COA_Master!C111)</x:f>
      </x:c>
      <x:c r="C112" s="18">
        <x:f>IF(A112="","",COA_Master!D111)</x:f>
      </x:c>
      <x:c r="D112" s="18">
        <x:f>IF(A112="","",COA_Master!F111)</x:f>
      </x:c>
      <x:c r="E112" s="18">
        <x:f>IF(A112="","",COA_Master!G111)</x:f>
      </x:c>
      <x:c r="F112" s="12">
        <x:f>IF(A112="","",COA_Master!N111)</x:f>
      </x:c>
      <x:c r="G112" s="12">
        <x:f>IF(A112="","",COA_Master!O111)</x:f>
      </x:c>
      <x:c r="H112" s="12">
        <x:f>IF(A112="","",COA_Master!P111)</x:f>
      </x:c>
      <x:c r="I112" s="12">
        <x:f>IF(A112="","",IF(E112="Debit",F112+G112-H112,F112-G112+H112))</x:f>
      </x:c>
      <x:c r="J112" s="12">
        <x:f>IF(A112="","",IF(E112="Debit",MAX(0,I112),0))</x:f>
      </x:c>
      <x:c r="K112" s="12">
        <x:f>IF(A112="","",IF(E112="Credit",MAX(0,I112),0))</x:f>
      </x:c>
      <x:c r="L112" s="12">
        <x:f>IF(A112="","",COA_Master!R111)</x:f>
      </x:c>
      <x:c r="M112" s="12">
        <x:f>IF(A112="","",I112-L112)</x:f>
      </x:c>
      <x:c r="N112" s="19">
        <x:f>IF(A112="","",IF(ABS(I112-COA_Master!Q111)&lt;=0.01,"OK","CHECK"))</x:f>
      </x:c>
    </x:row>
    <x:row r="113">
      <x:c r="A113" s="18">
        <x:f>IF(COA_Master!A112="","",COA_Master!A112)</x:f>
      </x:c>
      <x:c r="B113" s="18">
        <x:f>IF(A113="","",COA_Master!C112)</x:f>
      </x:c>
      <x:c r="C113" s="18">
        <x:f>IF(A113="","",COA_Master!D112)</x:f>
      </x:c>
      <x:c r="D113" s="18">
        <x:f>IF(A113="","",COA_Master!F112)</x:f>
      </x:c>
      <x:c r="E113" s="18">
        <x:f>IF(A113="","",COA_Master!G112)</x:f>
      </x:c>
      <x:c r="F113" s="12">
        <x:f>IF(A113="","",COA_Master!N112)</x:f>
      </x:c>
      <x:c r="G113" s="12">
        <x:f>IF(A113="","",COA_Master!O112)</x:f>
      </x:c>
      <x:c r="H113" s="12">
        <x:f>IF(A113="","",COA_Master!P112)</x:f>
      </x:c>
      <x:c r="I113" s="12">
        <x:f>IF(A113="","",IF(E113="Debit",F113+G113-H113,F113-G113+H113))</x:f>
      </x:c>
      <x:c r="J113" s="12">
        <x:f>IF(A113="","",IF(E113="Debit",MAX(0,I113),0))</x:f>
      </x:c>
      <x:c r="K113" s="12">
        <x:f>IF(A113="","",IF(E113="Credit",MAX(0,I113),0))</x:f>
      </x:c>
      <x:c r="L113" s="12">
        <x:f>IF(A113="","",COA_Master!R112)</x:f>
      </x:c>
      <x:c r="M113" s="12">
        <x:f>IF(A113="","",I113-L113)</x:f>
      </x:c>
      <x:c r="N113" s="19">
        <x:f>IF(A113="","",IF(ABS(I113-COA_Master!Q112)&lt;=0.01,"OK","CHECK"))</x:f>
      </x:c>
    </x:row>
    <x:row r="114">
      <x:c r="A114" s="18">
        <x:f>IF(COA_Master!A113="","",COA_Master!A113)</x:f>
      </x:c>
      <x:c r="B114" s="18">
        <x:f>IF(A114="","",COA_Master!C113)</x:f>
      </x:c>
      <x:c r="C114" s="18">
        <x:f>IF(A114="","",COA_Master!D113)</x:f>
      </x:c>
      <x:c r="D114" s="18">
        <x:f>IF(A114="","",COA_Master!F113)</x:f>
      </x:c>
      <x:c r="E114" s="18">
        <x:f>IF(A114="","",COA_Master!G113)</x:f>
      </x:c>
      <x:c r="F114" s="12">
        <x:f>IF(A114="","",COA_Master!N113)</x:f>
      </x:c>
      <x:c r="G114" s="12">
        <x:f>IF(A114="","",COA_Master!O113)</x:f>
      </x:c>
      <x:c r="H114" s="12">
        <x:f>IF(A114="","",COA_Master!P113)</x:f>
      </x:c>
      <x:c r="I114" s="12">
        <x:f>IF(A114="","",IF(E114="Debit",F114+G114-H114,F114-G114+H114))</x:f>
      </x:c>
      <x:c r="J114" s="12">
        <x:f>IF(A114="","",IF(E114="Debit",MAX(0,I114),0))</x:f>
      </x:c>
      <x:c r="K114" s="12">
        <x:f>IF(A114="","",IF(E114="Credit",MAX(0,I114),0))</x:f>
      </x:c>
      <x:c r="L114" s="12">
        <x:f>IF(A114="","",COA_Master!R113)</x:f>
      </x:c>
      <x:c r="M114" s="12">
        <x:f>IF(A114="","",I114-L114)</x:f>
      </x:c>
      <x:c r="N114" s="19">
        <x:f>IF(A114="","",IF(ABS(I114-COA_Master!Q113)&lt;=0.01,"OK","CHECK"))</x:f>
      </x:c>
    </x:row>
    <x:row r="115">
      <x:c r="A115" s="18">
        <x:f>IF(COA_Master!A114="","",COA_Master!A114)</x:f>
      </x:c>
      <x:c r="B115" s="18">
        <x:f>IF(A115="","",COA_Master!C114)</x:f>
      </x:c>
      <x:c r="C115" s="18">
        <x:f>IF(A115="","",COA_Master!D114)</x:f>
      </x:c>
      <x:c r="D115" s="18">
        <x:f>IF(A115="","",COA_Master!F114)</x:f>
      </x:c>
      <x:c r="E115" s="18">
        <x:f>IF(A115="","",COA_Master!G114)</x:f>
      </x:c>
      <x:c r="F115" s="12">
        <x:f>IF(A115="","",COA_Master!N114)</x:f>
      </x:c>
      <x:c r="G115" s="12">
        <x:f>IF(A115="","",COA_Master!O114)</x:f>
      </x:c>
      <x:c r="H115" s="12">
        <x:f>IF(A115="","",COA_Master!P114)</x:f>
      </x:c>
      <x:c r="I115" s="12">
        <x:f>IF(A115="","",IF(E115="Debit",F115+G115-H115,F115-G115+H115))</x:f>
      </x:c>
      <x:c r="J115" s="12">
        <x:f>IF(A115="","",IF(E115="Debit",MAX(0,I115),0))</x:f>
      </x:c>
      <x:c r="K115" s="12">
        <x:f>IF(A115="","",IF(E115="Credit",MAX(0,I115),0))</x:f>
      </x:c>
      <x:c r="L115" s="12">
        <x:f>IF(A115="","",COA_Master!R114)</x:f>
      </x:c>
      <x:c r="M115" s="12">
        <x:f>IF(A115="","",I115-L115)</x:f>
      </x:c>
      <x:c r="N115" s="19">
        <x:f>IF(A115="","",IF(ABS(I115-COA_Master!Q114)&lt;=0.01,"OK","CHECK"))</x:f>
      </x:c>
    </x:row>
    <x:row r="116">
      <x:c r="A116" s="18">
        <x:f>IF(COA_Master!A115="","",COA_Master!A115)</x:f>
      </x:c>
      <x:c r="B116" s="18">
        <x:f>IF(A116="","",COA_Master!C115)</x:f>
      </x:c>
      <x:c r="C116" s="18">
        <x:f>IF(A116="","",COA_Master!D115)</x:f>
      </x:c>
      <x:c r="D116" s="18">
        <x:f>IF(A116="","",COA_Master!F115)</x:f>
      </x:c>
      <x:c r="E116" s="18">
        <x:f>IF(A116="","",COA_Master!G115)</x:f>
      </x:c>
      <x:c r="F116" s="12">
        <x:f>IF(A116="","",COA_Master!N115)</x:f>
      </x:c>
      <x:c r="G116" s="12">
        <x:f>IF(A116="","",COA_Master!O115)</x:f>
      </x:c>
      <x:c r="H116" s="12">
        <x:f>IF(A116="","",COA_Master!P115)</x:f>
      </x:c>
      <x:c r="I116" s="12">
        <x:f>IF(A116="","",IF(E116="Debit",F116+G116-H116,F116-G116+H116))</x:f>
      </x:c>
      <x:c r="J116" s="12">
        <x:f>IF(A116="","",IF(E116="Debit",MAX(0,I116),0))</x:f>
      </x:c>
      <x:c r="K116" s="12">
        <x:f>IF(A116="","",IF(E116="Credit",MAX(0,I116),0))</x:f>
      </x:c>
      <x:c r="L116" s="12">
        <x:f>IF(A116="","",COA_Master!R115)</x:f>
      </x:c>
      <x:c r="M116" s="12">
        <x:f>IF(A116="","",I116-L116)</x:f>
      </x:c>
      <x:c r="N116" s="19">
        <x:f>IF(A116="","",IF(ABS(I116-COA_Master!Q115)&lt;=0.01,"OK","CHECK"))</x:f>
      </x:c>
    </x:row>
    <x:row r="117">
      <x:c r="A117" s="18">
        <x:f>IF(COA_Master!A116="","",COA_Master!A116)</x:f>
      </x:c>
      <x:c r="B117" s="18">
        <x:f>IF(A117="","",COA_Master!C116)</x:f>
      </x:c>
      <x:c r="C117" s="18">
        <x:f>IF(A117="","",COA_Master!D116)</x:f>
      </x:c>
      <x:c r="D117" s="18">
        <x:f>IF(A117="","",COA_Master!F116)</x:f>
      </x:c>
      <x:c r="E117" s="18">
        <x:f>IF(A117="","",COA_Master!G116)</x:f>
      </x:c>
      <x:c r="F117" s="12">
        <x:f>IF(A117="","",COA_Master!N116)</x:f>
      </x:c>
      <x:c r="G117" s="12">
        <x:f>IF(A117="","",COA_Master!O116)</x:f>
      </x:c>
      <x:c r="H117" s="12">
        <x:f>IF(A117="","",COA_Master!P116)</x:f>
      </x:c>
      <x:c r="I117" s="12">
        <x:f>IF(A117="","",IF(E117="Debit",F117+G117-H117,F117-G117+H117))</x:f>
      </x:c>
      <x:c r="J117" s="12">
        <x:f>IF(A117="","",IF(E117="Debit",MAX(0,I117),0))</x:f>
      </x:c>
      <x:c r="K117" s="12">
        <x:f>IF(A117="","",IF(E117="Credit",MAX(0,I117),0))</x:f>
      </x:c>
      <x:c r="L117" s="12">
        <x:f>IF(A117="","",COA_Master!R116)</x:f>
      </x:c>
      <x:c r="M117" s="12">
        <x:f>IF(A117="","",I117-L117)</x:f>
      </x:c>
      <x:c r="N117" s="19">
        <x:f>IF(A117="","",IF(ABS(I117-COA_Master!Q116)&lt;=0.01,"OK","CHECK"))</x:f>
      </x:c>
    </x:row>
    <x:row r="118">
      <x:c r="A118" s="18">
        <x:f>IF(COA_Master!A117="","",COA_Master!A117)</x:f>
      </x:c>
      <x:c r="B118" s="18">
        <x:f>IF(A118="","",COA_Master!C117)</x:f>
      </x:c>
      <x:c r="C118" s="18">
        <x:f>IF(A118="","",COA_Master!D117)</x:f>
      </x:c>
      <x:c r="D118" s="18">
        <x:f>IF(A118="","",COA_Master!F117)</x:f>
      </x:c>
      <x:c r="E118" s="18">
        <x:f>IF(A118="","",COA_Master!G117)</x:f>
      </x:c>
      <x:c r="F118" s="12">
        <x:f>IF(A118="","",COA_Master!N117)</x:f>
      </x:c>
      <x:c r="G118" s="12">
        <x:f>IF(A118="","",COA_Master!O117)</x:f>
      </x:c>
      <x:c r="H118" s="12">
        <x:f>IF(A118="","",COA_Master!P117)</x:f>
      </x:c>
      <x:c r="I118" s="12">
        <x:f>IF(A118="","",IF(E118="Debit",F118+G118-H118,F118-G118+H118))</x:f>
      </x:c>
      <x:c r="J118" s="12">
        <x:f>IF(A118="","",IF(E118="Debit",MAX(0,I118),0))</x:f>
      </x:c>
      <x:c r="K118" s="12">
        <x:f>IF(A118="","",IF(E118="Credit",MAX(0,I118),0))</x:f>
      </x:c>
      <x:c r="L118" s="12">
        <x:f>IF(A118="","",COA_Master!R117)</x:f>
      </x:c>
      <x:c r="M118" s="12">
        <x:f>IF(A118="","",I118-L118)</x:f>
      </x:c>
      <x:c r="N118" s="19">
        <x:f>IF(A118="","",IF(ABS(I118-COA_Master!Q117)&lt;=0.01,"OK","CHECK"))</x:f>
      </x:c>
    </x:row>
    <x:row r="119">
      <x:c r="A119" s="18">
        <x:f>IF(COA_Master!A118="","",COA_Master!A118)</x:f>
      </x:c>
      <x:c r="B119" s="18">
        <x:f>IF(A119="","",COA_Master!C118)</x:f>
      </x:c>
      <x:c r="C119" s="18">
        <x:f>IF(A119="","",COA_Master!D118)</x:f>
      </x:c>
      <x:c r="D119" s="18">
        <x:f>IF(A119="","",COA_Master!F118)</x:f>
      </x:c>
      <x:c r="E119" s="18">
        <x:f>IF(A119="","",COA_Master!G118)</x:f>
      </x:c>
      <x:c r="F119" s="12">
        <x:f>IF(A119="","",COA_Master!N118)</x:f>
      </x:c>
      <x:c r="G119" s="12">
        <x:f>IF(A119="","",COA_Master!O118)</x:f>
      </x:c>
      <x:c r="H119" s="12">
        <x:f>IF(A119="","",COA_Master!P118)</x:f>
      </x:c>
      <x:c r="I119" s="12">
        <x:f>IF(A119="","",IF(E119="Debit",F119+G119-H119,F119-G119+H119))</x:f>
      </x:c>
      <x:c r="J119" s="12">
        <x:f>IF(A119="","",IF(E119="Debit",MAX(0,I119),0))</x:f>
      </x:c>
      <x:c r="K119" s="12">
        <x:f>IF(A119="","",IF(E119="Credit",MAX(0,I119),0))</x:f>
      </x:c>
      <x:c r="L119" s="12">
        <x:f>IF(A119="","",COA_Master!R118)</x:f>
      </x:c>
      <x:c r="M119" s="12">
        <x:f>IF(A119="","",I119-L119)</x:f>
      </x:c>
      <x:c r="N119" s="19">
        <x:f>IF(A119="","",IF(ABS(I119-COA_Master!Q118)&lt;=0.01,"OK","CHECK"))</x:f>
      </x:c>
    </x:row>
    <x:row r="120">
      <x:c r="A120" s="18">
        <x:f>IF(COA_Master!A119="","",COA_Master!A119)</x:f>
      </x:c>
      <x:c r="B120" s="18">
        <x:f>IF(A120="","",COA_Master!C119)</x:f>
      </x:c>
      <x:c r="C120" s="18">
        <x:f>IF(A120="","",COA_Master!D119)</x:f>
      </x:c>
      <x:c r="D120" s="18">
        <x:f>IF(A120="","",COA_Master!F119)</x:f>
      </x:c>
      <x:c r="E120" s="18">
        <x:f>IF(A120="","",COA_Master!G119)</x:f>
      </x:c>
      <x:c r="F120" s="12">
        <x:f>IF(A120="","",COA_Master!N119)</x:f>
      </x:c>
      <x:c r="G120" s="12">
        <x:f>IF(A120="","",COA_Master!O119)</x:f>
      </x:c>
      <x:c r="H120" s="12">
        <x:f>IF(A120="","",COA_Master!P119)</x:f>
      </x:c>
      <x:c r="I120" s="12">
        <x:f>IF(A120="","",IF(E120="Debit",F120+G120-H120,F120-G120+H120))</x:f>
      </x:c>
      <x:c r="J120" s="12">
        <x:f>IF(A120="","",IF(E120="Debit",MAX(0,I120),0))</x:f>
      </x:c>
      <x:c r="K120" s="12">
        <x:f>IF(A120="","",IF(E120="Credit",MAX(0,I120),0))</x:f>
      </x:c>
      <x:c r="L120" s="12">
        <x:f>IF(A120="","",COA_Master!R119)</x:f>
      </x:c>
      <x:c r="M120" s="12">
        <x:f>IF(A120="","",I120-L120)</x:f>
      </x:c>
      <x:c r="N120" s="19">
        <x:f>IF(A120="","",IF(ABS(I120-COA_Master!Q119)&lt;=0.01,"OK","CHECK"))</x:f>
      </x:c>
    </x:row>
    <x:row r="121">
      <x:c r="A121" s="18">
        <x:f>IF(COA_Master!A120="","",COA_Master!A120)</x:f>
      </x:c>
      <x:c r="B121" s="18">
        <x:f>IF(A121="","",COA_Master!C120)</x:f>
      </x:c>
      <x:c r="C121" s="18">
        <x:f>IF(A121="","",COA_Master!D120)</x:f>
      </x:c>
      <x:c r="D121" s="18">
        <x:f>IF(A121="","",COA_Master!F120)</x:f>
      </x:c>
      <x:c r="E121" s="18">
        <x:f>IF(A121="","",COA_Master!G120)</x:f>
      </x:c>
      <x:c r="F121" s="12">
        <x:f>IF(A121="","",COA_Master!N120)</x:f>
      </x:c>
      <x:c r="G121" s="12">
        <x:f>IF(A121="","",COA_Master!O120)</x:f>
      </x:c>
      <x:c r="H121" s="12">
        <x:f>IF(A121="","",COA_Master!P120)</x:f>
      </x:c>
      <x:c r="I121" s="12">
        <x:f>IF(A121="","",IF(E121="Debit",F121+G121-H121,F121-G121+H121))</x:f>
      </x:c>
      <x:c r="J121" s="12">
        <x:f>IF(A121="","",IF(E121="Debit",MAX(0,I121),0))</x:f>
      </x:c>
      <x:c r="K121" s="12">
        <x:f>IF(A121="","",IF(E121="Credit",MAX(0,I121),0))</x:f>
      </x:c>
      <x:c r="L121" s="12">
        <x:f>IF(A121="","",COA_Master!R120)</x:f>
      </x:c>
      <x:c r="M121" s="12">
        <x:f>IF(A121="","",I121-L121)</x:f>
      </x:c>
      <x:c r="N121" s="19">
        <x:f>IF(A121="","",IF(ABS(I121-COA_Master!Q120)&lt;=0.01,"OK","CHECK"))</x:f>
      </x:c>
    </x:row>
    <x:row r="122">
      <x:c r="A122" s="18">
        <x:f>IF(COA_Master!A121="","",COA_Master!A121)</x:f>
      </x:c>
      <x:c r="B122" s="18">
        <x:f>IF(A122="","",COA_Master!C121)</x:f>
      </x:c>
      <x:c r="C122" s="18">
        <x:f>IF(A122="","",COA_Master!D121)</x:f>
      </x:c>
      <x:c r="D122" s="18">
        <x:f>IF(A122="","",COA_Master!F121)</x:f>
      </x:c>
      <x:c r="E122" s="18">
        <x:f>IF(A122="","",COA_Master!G121)</x:f>
      </x:c>
      <x:c r="F122" s="12">
        <x:f>IF(A122="","",COA_Master!N121)</x:f>
      </x:c>
      <x:c r="G122" s="12">
        <x:f>IF(A122="","",COA_Master!O121)</x:f>
      </x:c>
      <x:c r="H122" s="12">
        <x:f>IF(A122="","",COA_Master!P121)</x:f>
      </x:c>
      <x:c r="I122" s="12">
        <x:f>IF(A122="","",IF(E122="Debit",F122+G122-H122,F122-G122+H122))</x:f>
      </x:c>
      <x:c r="J122" s="12">
        <x:f>IF(A122="","",IF(E122="Debit",MAX(0,I122),0))</x:f>
      </x:c>
      <x:c r="K122" s="12">
        <x:f>IF(A122="","",IF(E122="Credit",MAX(0,I122),0))</x:f>
      </x:c>
      <x:c r="L122" s="12">
        <x:f>IF(A122="","",COA_Master!R121)</x:f>
      </x:c>
      <x:c r="M122" s="12">
        <x:f>IF(A122="","",I122-L122)</x:f>
      </x:c>
      <x:c r="N122" s="19">
        <x:f>IF(A122="","",IF(ABS(I122-COA_Master!Q121)&lt;=0.01,"OK","CHECK"))</x:f>
      </x:c>
    </x:row>
    <x:row r="123">
      <x:c r="A123" s="18">
        <x:f>IF(COA_Master!A122="","",COA_Master!A122)</x:f>
      </x:c>
      <x:c r="B123" s="18">
        <x:f>IF(A123="","",COA_Master!C122)</x:f>
      </x:c>
      <x:c r="C123" s="18">
        <x:f>IF(A123="","",COA_Master!D122)</x:f>
      </x:c>
      <x:c r="D123" s="18">
        <x:f>IF(A123="","",COA_Master!F122)</x:f>
      </x:c>
      <x:c r="E123" s="18">
        <x:f>IF(A123="","",COA_Master!G122)</x:f>
      </x:c>
      <x:c r="F123" s="12">
        <x:f>IF(A123="","",COA_Master!N122)</x:f>
      </x:c>
      <x:c r="G123" s="12">
        <x:f>IF(A123="","",COA_Master!O122)</x:f>
      </x:c>
      <x:c r="H123" s="12">
        <x:f>IF(A123="","",COA_Master!P122)</x:f>
      </x:c>
      <x:c r="I123" s="12">
        <x:f>IF(A123="","",IF(E123="Debit",F123+G123-H123,F123-G123+H123))</x:f>
      </x:c>
      <x:c r="J123" s="12">
        <x:f>IF(A123="","",IF(E123="Debit",MAX(0,I123),0))</x:f>
      </x:c>
      <x:c r="K123" s="12">
        <x:f>IF(A123="","",IF(E123="Credit",MAX(0,I123),0))</x:f>
      </x:c>
      <x:c r="L123" s="12">
        <x:f>IF(A123="","",COA_Master!R122)</x:f>
      </x:c>
      <x:c r="M123" s="12">
        <x:f>IF(A123="","",I123-L123)</x:f>
      </x:c>
      <x:c r="N123" s="19">
        <x:f>IF(A123="","",IF(ABS(I123-COA_Master!Q122)&lt;=0.01,"OK","CHECK"))</x:f>
      </x:c>
    </x:row>
    <x:row r="124">
      <x:c r="A124" s="18">
        <x:f>IF(COA_Master!A123="","",COA_Master!A123)</x:f>
      </x:c>
      <x:c r="B124" s="18">
        <x:f>IF(A124="","",COA_Master!C123)</x:f>
      </x:c>
      <x:c r="C124" s="18">
        <x:f>IF(A124="","",COA_Master!D123)</x:f>
      </x:c>
      <x:c r="D124" s="18">
        <x:f>IF(A124="","",COA_Master!F123)</x:f>
      </x:c>
      <x:c r="E124" s="18">
        <x:f>IF(A124="","",COA_Master!G123)</x:f>
      </x:c>
      <x:c r="F124" s="12">
        <x:f>IF(A124="","",COA_Master!N123)</x:f>
      </x:c>
      <x:c r="G124" s="12">
        <x:f>IF(A124="","",COA_Master!O123)</x:f>
      </x:c>
      <x:c r="H124" s="12">
        <x:f>IF(A124="","",COA_Master!P123)</x:f>
      </x:c>
      <x:c r="I124" s="12">
        <x:f>IF(A124="","",IF(E124="Debit",F124+G124-H124,F124-G124+H124))</x:f>
      </x:c>
      <x:c r="J124" s="12">
        <x:f>IF(A124="","",IF(E124="Debit",MAX(0,I124),0))</x:f>
      </x:c>
      <x:c r="K124" s="12">
        <x:f>IF(A124="","",IF(E124="Credit",MAX(0,I124),0))</x:f>
      </x:c>
      <x:c r="L124" s="12">
        <x:f>IF(A124="","",COA_Master!R123)</x:f>
      </x:c>
      <x:c r="M124" s="12">
        <x:f>IF(A124="","",I124-L124)</x:f>
      </x:c>
      <x:c r="N124" s="19">
        <x:f>IF(A124="","",IF(ABS(I124-COA_Master!Q123)&lt;=0.01,"OK","CHECK"))</x:f>
      </x:c>
    </x:row>
    <x:row r="125">
      <x:c r="A125" s="18">
        <x:f>IF(COA_Master!A124="","",COA_Master!A124)</x:f>
      </x:c>
      <x:c r="B125" s="18">
        <x:f>IF(A125="","",COA_Master!C124)</x:f>
      </x:c>
      <x:c r="C125" s="18">
        <x:f>IF(A125="","",COA_Master!D124)</x:f>
      </x:c>
      <x:c r="D125" s="18">
        <x:f>IF(A125="","",COA_Master!F124)</x:f>
      </x:c>
      <x:c r="E125" s="18">
        <x:f>IF(A125="","",COA_Master!G124)</x:f>
      </x:c>
      <x:c r="F125" s="12">
        <x:f>IF(A125="","",COA_Master!N124)</x:f>
      </x:c>
      <x:c r="G125" s="12">
        <x:f>IF(A125="","",COA_Master!O124)</x:f>
      </x:c>
      <x:c r="H125" s="12">
        <x:f>IF(A125="","",COA_Master!P124)</x:f>
      </x:c>
      <x:c r="I125" s="12">
        <x:f>IF(A125="","",IF(E125="Debit",F125+G125-H125,F125-G125+H125))</x:f>
      </x:c>
      <x:c r="J125" s="12">
        <x:f>IF(A125="","",IF(E125="Debit",MAX(0,I125),0))</x:f>
      </x:c>
      <x:c r="K125" s="12">
        <x:f>IF(A125="","",IF(E125="Credit",MAX(0,I125),0))</x:f>
      </x:c>
      <x:c r="L125" s="12">
        <x:f>IF(A125="","",COA_Master!R124)</x:f>
      </x:c>
      <x:c r="M125" s="12">
        <x:f>IF(A125="","",I125-L125)</x:f>
      </x:c>
      <x:c r="N125" s="19">
        <x:f>IF(A125="","",IF(ABS(I125-COA_Master!Q124)&lt;=0.01,"OK","CHECK"))</x:f>
      </x:c>
    </x:row>
  </x:sheetData>
  <x:mergeCells>
    <x:mergeCell ref="A2:N2"/>
    <x:mergeCell ref="B3:F3"/>
    <x:mergeCell ref="A1:N1"/>
  </x:mergeCells>
  <x:pageMargins left="0.7" right="0.7" top="0.75" bottom="0.75" header="0.3" footer="0.3"/>
  <x:tableParts count="1">
    <x:tablePart xmlns:r="http://schemas.openxmlformats.org/officeDocument/2006/relationships" r:id="Rde84682055494402"/>
  </x:tableParts>
</x:worksheet>
</file>

<file path=xl/worksheets/sheet18.xml><?xml version="1.0" encoding="utf-8"?>
<x:worksheet xmlns:x="http://schemas.openxmlformats.org/spreadsheetml/2006/main">
  <x:sheetPr>
    <x:tabColor rgb="0000B0F0"/>
  </x:sheetPr>
  <x:sheetViews>
    <x:sheetView showGridLines="0" workbookViewId="0"/>
  </x:sheetViews>
  <x:sheetFormatPr baseColWidth="8" defaultRowHeight="15"/>
  <x:cols>
    <x:col min="1" max="1" width="16" customWidth="1"/>
    <x:col min="2" max="2" width="14" customWidth="1"/>
    <x:col min="3" max="3" width="14" customWidth="1"/>
    <x:col min="4" max="4" width="24" customWidth="1"/>
    <x:col min="5" max="5" width="14" customWidth="1"/>
    <x:col min="6" max="6" width="12" customWidth="1"/>
    <x:col min="7" max="7" width="14" customWidth="1"/>
    <x:col min="8" max="8" width="28" customWidth="1"/>
    <x:col min="9" max="9" width="14" customWidth="1"/>
    <x:col min="10" max="10" width="14" customWidth="1"/>
    <x:col min="11" max="11" width="16" customWidth="1"/>
    <x:col min="12" max="12" width="12" customWidth="1"/>
    <x:col min="13" max="13" width="24" customWidth="1"/>
    <x:col min="14" max="14" width="12" customWidth="1"/>
    <x:col min="15" max="15" width="12" customWidth="1"/>
  </x:cols>
  <x:sheetData>
    <x:row r="1" ht="24" customHeight="1">
      <x:c r="A1" s="1" t="inlineStr">
        <x:is>
          <x:t xml:space="preserve">GL_Generated</x:t>
        </x:is>
      </x:c>
    </x:row>
    <x:row r="2" ht="36" customHeight="1">
      <x:c r="A2" s="2" t="inlineStr">
        <x:is>
          <x:t xml:space="preserve">Formula-driven general ledger view sourced from Journal_Import. Sort / backend-load Journal_Import by Account_Code then Entry_Date for running balance continuity.</x:t>
        </x:is>
      </x:c>
    </x:row>
    <x:row r="4" ht="30" customHeight="1">
      <x:c r="A4" s="4" t="inlineStr">
        <x:is>
          <x:t xml:space="preserve">Journal_ID</x:t>
        </x:is>
      </x:c>
      <x:c r="B4" s="4" t="inlineStr">
        <x:is>
          <x:t xml:space="preserve">Engagement_ID</x:t>
        </x:is>
      </x:c>
      <x:c r="C4" s="4" t="inlineStr">
        <x:is>
          <x:t xml:space="preserve">Account_Code</x:t>
        </x:is>
      </x:c>
      <x:c r="D4" s="4" t="inlineStr">
        <x:is>
          <x:t xml:space="preserve">Account_Name</x:t>
        </x:is>
      </x:c>
      <x:c r="E4" s="4" t="inlineStr">
        <x:is>
          <x:t xml:space="preserve">Entry_Date</x:t>
        </x:is>
      </x:c>
      <x:c r="F4" s="4" t="inlineStr">
        <x:is>
          <x:t xml:space="preserve">Voucher_Type</x:t>
        </x:is>
      </x:c>
      <x:c r="G4" s="4" t="inlineStr">
        <x:is>
          <x:t xml:space="preserve">Document_No</x:t>
        </x:is>
      </x:c>
      <x:c r="H4" s="4" t="inlineStr">
        <x:is>
          <x:t xml:space="preserve">Narration</x:t>
        </x:is>
      </x:c>
      <x:c r="I4" s="4" t="inlineStr">
        <x:is>
          <x:t xml:space="preserve">Debit_Base</x:t>
        </x:is>
      </x:c>
      <x:c r="J4" s="4" t="inlineStr">
        <x:is>
          <x:t xml:space="preserve">Credit_Base</x:t>
        </x:is>
      </x:c>
      <x:c r="K4" s="4" t="inlineStr">
        <x:is>
          <x:t xml:space="preserve">Running_Balance</x:t>
        </x:is>
      </x:c>
      <x:c r="L4" s="4" t="inlineStr">
        <x:is>
          <x:t xml:space="preserve">Balance_Side</x:t>
        </x:is>
      </x:c>
      <x:c r="M4" s="4" t="inlineStr">
        <x:is>
          <x:t xml:space="preserve">Source_File_Name</x:t>
        </x:is>
      </x:c>
      <x:c r="N4" s="4" t="inlineStr">
        <x:is>
          <x:t xml:space="preserve">Posted_Flag</x:t>
        </x:is>
      </x:c>
      <x:c r="O4" s="4" t="inlineStr">
        <x:is>
          <x:t xml:space="preserve">Exception_Flag</x:t>
        </x:is>
      </x:c>
    </x:row>
    <x:row r="5" ht="20" customHeight="1">
      <x:c r="A5" s="18" t="str">
        <x:f>IF(Journal_Import!A5="","",Journal_Import!A5)</x:f>
        <x:v>JNL-0001-01</x:v>
      </x:c>
      <x:c r="B5" s="18" t="str">
        <x:f>IF(A5="","",Journal_Import!B5)</x:f>
        <x:v>ENG-001</x:v>
      </x:c>
      <x:c r="C5" s="18" t="str">
        <x:f>IF(A5="","",Journal_Import!I5)</x:f>
        <x:v>152101</x:v>
      </x:c>
      <x:c r="D5" s="18" t="str">
        <x:f>IF(A5="","",Journal_Import!J5)</x:f>
        <x:v>Cash at Bank</x:v>
      </x:c>
      <x:c r="E5" s="19">
        <x:f>IF(A5="","",Journal_Import!D5)</x:f>
        <x:v>45809</x:v>
      </x:c>
      <x:c r="F5" s="19" t="str">
        <x:f>IF(A5="","",Journal_Import!F5)</x:f>
        <x:v>Sales</x:v>
      </x:c>
      <x:c r="G5" s="19" t="str">
        <x:f>IF(A5="","",Journal_Import!G5)</x:f>
        <x:v>INV-1001</x:v>
      </x:c>
      <x:c r="H5" s="19" t="str">
        <x:f>IF(A5="","",Journal_Import!H5)</x:f>
        <x:v>Sales invoice - customer A</x:v>
      </x:c>
      <x:c r="I5" s="12">
        <x:f>IF(A5="","",Journal_Import!S5)</x:f>
        <x:v>500000</x:v>
      </x:c>
      <x:c r="J5" s="12">
        <x:f>IF(A5="","",Journal_Import!T5)</x:f>
      </x:c>
      <x:c r="K5" s="12">
        <x:f>IF(C5="","",IFERROR(INDEX(COA_Master!$N:$N,MATCH(C5,COA_Master!$A:$A,0)),0)+I5-J5)</x:f>
        <x:v>2500000</x:v>
      </x:c>
      <x:c r="L5" s="19" t="str">
        <x:f>IF(A5="","",IF(IFERROR(INDEX(COA_Master!$G:$G,MATCH(C5,COA_Master!$A:$A,0)),"Debit")="Debit",IF(K5&gt;=0,"Debit","Credit"),IF(K5&gt;=0,"Credit","Debit")))</x:f>
        <x:v>Debit</x:v>
      </x:c>
      <x:c r="M5" s="19" t="str">
        <x:f>IF(A5="","",Journal_Import!V5)</x:f>
        <x:v>sales_june.xlsx</x:v>
      </x:c>
      <x:c r="N5" s="19" t="str">
        <x:f>IF(A5="","",Journal_Import!W5)</x:f>
        <x:v>Yes</x:v>
      </x:c>
      <x:c r="O5" s="19" t="str">
        <x:f>IF(A5="","",Journal_Import!Z5)</x:f>
        <x:v>No</x:v>
      </x:c>
    </x:row>
    <x:row r="6" ht="20" customHeight="1">
      <x:c r="A6" s="18" t="str">
        <x:f>IF(Journal_Import!A6="","",Journal_Import!A6)</x:f>
        <x:v>JNL-0001-02</x:v>
      </x:c>
      <x:c r="B6" s="18" t="str">
        <x:f>IF(A6="","",Journal_Import!B6)</x:f>
        <x:v>ENG-001</x:v>
      </x:c>
      <x:c r="C6" s="18" t="str">
        <x:f>IF(A6="","",Journal_Import!I6)</x:f>
        <x:v>410101</x:v>
      </x:c>
      <x:c r="D6" s="18" t="str">
        <x:f>IF(A6="","",Journal_Import!J6)</x:f>
        <x:v>Salaries &amp; Wages</x:v>
      </x:c>
      <x:c r="E6" s="19">
        <x:f>IF(A6="","",Journal_Import!D6)</x:f>
        <x:v>45809</x:v>
      </x:c>
      <x:c r="F6" s="19" t="str">
        <x:f>IF(A6="","",Journal_Import!F6)</x:f>
        <x:v>Sales</x:v>
      </x:c>
      <x:c r="G6" s="19" t="str">
        <x:f>IF(A6="","",Journal_Import!G6)</x:f>
        <x:v>INV-1001</x:v>
      </x:c>
      <x:c r="H6" s="19" t="str">
        <x:f>IF(A6="","",Journal_Import!H6)</x:f>
        <x:v>Sales invoice - customer A</x:v>
      </x:c>
      <x:c r="I6" s="12">
        <x:f>IF(A6="","",Journal_Import!S6)</x:f>
      </x:c>
      <x:c r="J6" s="12">
        <x:f>IF(A6="","",Journal_Import!T6)</x:f>
        <x:v>500000</x:v>
      </x:c>
      <x:c r="K6" s="12">
        <x:f>IF(C6="","",IF(C6=C5,K5+I6-J6,IFERROR(INDEX(COA_Master!$N:$N,MATCH(C6,COA_Master!$A:$A,0)),0)+I6-J6))</x:f>
        <x:v>-500000</x:v>
      </x:c>
      <x:c r="L6" s="19" t="str">
        <x:f>IF(A6="","",IF(IFERROR(INDEX(COA_Master!$G:$G,MATCH(C6,COA_Master!$A:$A,0)),"Debit")="Debit",IF(K6&gt;=0,"Debit","Credit"),IF(K6&gt;=0,"Credit","Debit")))</x:f>
        <x:v>Credit</x:v>
      </x:c>
      <x:c r="M6" s="19" t="str">
        <x:f>IF(A6="","",Journal_Import!V6)</x:f>
        <x:v>sales_june.xlsx</x:v>
      </x:c>
      <x:c r="N6" s="19" t="str">
        <x:f>IF(A6="","",Journal_Import!W6)</x:f>
        <x:v>Yes</x:v>
      </x:c>
      <x:c r="O6" s="19" t="str">
        <x:f>IF(A6="","",Journal_Import!Z6)</x:f>
        <x:v>No</x:v>
      </x:c>
    </x:row>
    <x:row r="7" ht="20" customHeight="1">
      <x:c r="A7" s="18" t="str">
        <x:f>IF(Journal_Import!A7="","",Journal_Import!A7)</x:f>
        <x:v>JNL-0002-01</x:v>
      </x:c>
      <x:c r="B7" s="18" t="str">
        <x:f>IF(A7="","",Journal_Import!B7)</x:f>
        <x:v>ENG-001</x:v>
      </x:c>
      <x:c r="C7" s="18" t="str">
        <x:f>IF(A7="","",Journal_Import!I7)</x:f>
        <x:v>154201</x:v>
      </x:c>
      <x:c r="D7" s="18" t="str">
        <x:f>IF(A7="","",Journal_Import!J7)</x:f>
        <x:v>Long-term Loan</x:v>
      </x:c>
      <x:c r="E7" s="19">
        <x:f>IF(A7="","",Journal_Import!D7)</x:f>
        <x:v>45813</x:v>
      </x:c>
      <x:c r="F7" s="19" t="str">
        <x:f>IF(A7="","",Journal_Import!F7)</x:f>
        <x:v>RV</x:v>
      </x:c>
      <x:c r="G7" s="19" t="str">
        <x:f>IF(A7="","",Journal_Import!G7)</x:f>
        <x:v>RCV-210</x:v>
      </x:c>
      <x:c r="H7" s="19" t="str">
        <x:f>IF(A7="","",Journal_Import!H7)</x:f>
        <x:v>Collection from customer A</x:v>
      </x:c>
      <x:c r="I7" s="12">
        <x:f>IF(A7="","",Journal_Import!S7)</x:f>
        <x:v>300000</x:v>
      </x:c>
      <x:c r="J7" s="12">
        <x:f>IF(A7="","",Journal_Import!T7)</x:f>
      </x:c>
      <x:c r="K7" s="12">
        <x:f>IF(C7="","",IF(C7=C6,K6+I7-J7,IFERROR(INDEX(COA_Master!$N:$N,MATCH(C7,COA_Master!$A:$A,0)),0)+I7-J7))</x:f>
        <x:v>500000</x:v>
      </x:c>
      <x:c r="L7" s="19" t="str">
        <x:f>IF(A7="","",IF(IFERROR(INDEX(COA_Master!$G:$G,MATCH(C7,COA_Master!$A:$A,0)),"Debit")="Debit",IF(K7&gt;=0,"Debit","Credit"),IF(K7&gt;=0,"Credit","Debit")))</x:f>
        <x:v>Credit</x:v>
      </x:c>
      <x:c r="M7" s="19" t="str">
        <x:f>IF(A7="","",Journal_Import!V7)</x:f>
        <x:v>bank_june.xlsx</x:v>
      </x:c>
      <x:c r="N7" s="19" t="str">
        <x:f>IF(A7="","",Journal_Import!W7)</x:f>
        <x:v>Yes</x:v>
      </x:c>
      <x:c r="O7" s="19" t="str">
        <x:f>IF(A7="","",Journal_Import!Z7)</x:f>
        <x:v>No</x:v>
      </x:c>
    </x:row>
    <x:row r="8" ht="20" customHeight="1">
      <x:c r="A8" s="18" t="str">
        <x:f>IF(Journal_Import!A8="","",Journal_Import!A8)</x:f>
        <x:v>JNL-0002-02</x:v>
      </x:c>
      <x:c r="B8" s="18" t="str">
        <x:f>IF(A8="","",Journal_Import!B8)</x:f>
        <x:v>ENG-001</x:v>
      </x:c>
      <x:c r="C8" s="18" t="str">
        <x:f>IF(A8="","",Journal_Import!I8)</x:f>
        <x:v>152101</x:v>
      </x:c>
      <x:c r="D8" s="18" t="str">
        <x:f>IF(A8="","",Journal_Import!J8)</x:f>
        <x:v>Cash at Bank</x:v>
      </x:c>
      <x:c r="E8" s="19">
        <x:f>IF(A8="","",Journal_Import!D8)</x:f>
        <x:v>45813</x:v>
      </x:c>
      <x:c r="F8" s="19" t="str">
        <x:f>IF(A8="","",Journal_Import!F8)</x:f>
        <x:v>RV</x:v>
      </x:c>
      <x:c r="G8" s="19" t="str">
        <x:f>IF(A8="","",Journal_Import!G8)</x:f>
        <x:v>RCV-210</x:v>
      </x:c>
      <x:c r="H8" s="19" t="str">
        <x:f>IF(A8="","",Journal_Import!H8)</x:f>
        <x:v>Collection from customer A</x:v>
      </x:c>
      <x:c r="I8" s="12">
        <x:f>IF(A8="","",Journal_Import!S8)</x:f>
      </x:c>
      <x:c r="J8" s="12">
        <x:f>IF(A8="","",Journal_Import!T8)</x:f>
        <x:v>300000</x:v>
      </x:c>
      <x:c r="K8" s="12">
        <x:f>IF(C8="","",IF(C8=C7,K7+I8-J8,IFERROR(INDEX(COA_Master!$N:$N,MATCH(C8,COA_Master!$A:$A,0)),0)+I8-J8))</x:f>
        <x:v>1700000</x:v>
      </x:c>
      <x:c r="L8" s="19" t="str">
        <x:f>IF(A8="","",IF(IFERROR(INDEX(COA_Master!$G:$G,MATCH(C8,COA_Master!$A:$A,0)),"Debit")="Debit",IF(K8&gt;=0,"Debit","Credit"),IF(K8&gt;=0,"Credit","Debit")))</x:f>
        <x:v>Debit</x:v>
      </x:c>
      <x:c r="M8" s="19" t="str">
        <x:f>IF(A8="","",Journal_Import!V8)</x:f>
        <x:v>bank_june.xlsx</x:v>
      </x:c>
      <x:c r="N8" s="19" t="str">
        <x:f>IF(A8="","",Journal_Import!W8)</x:f>
        <x:v>Yes</x:v>
      </x:c>
      <x:c r="O8" s="19" t="str">
        <x:f>IF(A8="","",Journal_Import!Z8)</x:f>
        <x:v>No</x:v>
      </x:c>
    </x:row>
    <x:row r="9" ht="20" customHeight="1">
      <x:c r="A9" s="18" t="str">
        <x:f>IF(Journal_Import!A9="","",Journal_Import!A9)</x:f>
        <x:v>JNL-0003-01</x:v>
      </x:c>
      <x:c r="B9" s="18" t="str">
        <x:f>IF(A9="","",Journal_Import!B9)</x:f>
        <x:v>ENG-001</x:v>
      </x:c>
      <x:c r="C9" s="18" t="str">
        <x:f>IF(A9="","",Journal_Import!I9)</x:f>
        <x:v>151101</x:v>
      </x:c>
      <x:c r="D9" s="18" t="str">
        <x:f>IF(A9="","",Journal_Import!J9)</x:f>
        <x:v>Prepaid Expenses</x:v>
      </x:c>
      <x:c r="E9" s="19">
        <x:f>IF(A9="","",Journal_Import!D9)</x:f>
        <x:v>45816</x:v>
      </x:c>
      <x:c r="F9" s="19" t="str">
        <x:f>IF(A9="","",Journal_Import!F9)</x:f>
        <x:v>Purchase</x:v>
      </x:c>
      <x:c r="G9" s="19" t="str">
        <x:f>IF(A9="","",Journal_Import!G9)</x:f>
        <x:v>BILL-550</x:v>
      </x:c>
      <x:c r="H9" s="19" t="str">
        <x:f>IF(A9="","",Journal_Import!H9)</x:f>
        <x:v>Raw material purchased on credit</x:v>
      </x:c>
      <x:c r="I9" s="12">
        <x:f>IF(A9="","",Journal_Import!S9)</x:f>
        <x:v>400000</x:v>
      </x:c>
      <x:c r="J9" s="12">
        <x:f>IF(A9="","",Journal_Import!T9)</x:f>
      </x:c>
      <x:c r="K9" s="12">
        <x:f>IF(C9="","",IF(C9=C8,K8+I9-J9,IFERROR(INDEX(COA_Master!$N:$N,MATCH(C9,COA_Master!$A:$A,0)),0)+I9-J9))</x:f>
        <x:v>400000</x:v>
      </x:c>
      <x:c r="L9" s="19" t="str">
        <x:f>IF(A9="","",IF(IFERROR(INDEX(COA_Master!$G:$G,MATCH(C9,COA_Master!$A:$A,0)),"Debit")="Debit",IF(K9&gt;=0,"Debit","Credit"),IF(K9&gt;=0,"Credit","Debit")))</x:f>
        <x:v>Debit</x:v>
      </x:c>
      <x:c r="M9" s="19" t="str">
        <x:f>IF(A9="","",Journal_Import!V9)</x:f>
        <x:v>purchase_june.xlsx</x:v>
      </x:c>
      <x:c r="N9" s="19" t="str">
        <x:f>IF(A9="","",Journal_Import!W9)</x:f>
        <x:v>Yes</x:v>
      </x:c>
      <x:c r="O9" s="19" t="str">
        <x:f>IF(A9="","",Journal_Import!Z9)</x:f>
        <x:v>No</x:v>
      </x:c>
    </x:row>
    <x:row r="10" ht="20" customHeight="1">
      <x:c r="A10" s="18" t="str">
        <x:f>IF(Journal_Import!A10="","",Journal_Import!A10)</x:f>
        <x:v>JNL-0003-02</x:v>
      </x:c>
      <x:c r="B10" s="18" t="str">
        <x:f>IF(A10="","",Journal_Import!B10)</x:f>
        <x:v>ENG-001</x:v>
      </x:c>
      <x:c r="C10" s="18" t="str">
        <x:f>IF(A10="","",Journal_Import!I10)</x:f>
        <x:v>321101</x:v>
      </x:c>
      <x:c r="D10" s="18" t="str">
        <x:f>IF(A10="","",Journal_Import!J10)</x:f>
        <x:v>Profit on Bank Deposits</x:v>
      </x:c>
      <x:c r="E10" s="19">
        <x:f>IF(A10="","",Journal_Import!D10)</x:f>
        <x:v>45816</x:v>
      </x:c>
      <x:c r="F10" s="19" t="str">
        <x:f>IF(A10="","",Journal_Import!F10)</x:f>
        <x:v>Purchase</x:v>
      </x:c>
      <x:c r="G10" s="19" t="str">
        <x:f>IF(A10="","",Journal_Import!G10)</x:f>
        <x:v>BILL-550</x:v>
      </x:c>
      <x:c r="H10" s="19" t="str">
        <x:f>IF(A10="","",Journal_Import!H10)</x:f>
        <x:v>Raw material purchased on credit</x:v>
      </x:c>
      <x:c r="I10" s="12">
        <x:f>IF(A10="","",Journal_Import!S10)</x:f>
      </x:c>
      <x:c r="J10" s="12">
        <x:f>IF(A10="","",Journal_Import!T10)</x:f>
        <x:v>400000</x:v>
      </x:c>
      <x:c r="K10" s="12">
        <x:f>IF(C10="","",IF(C10=C9,K9+I10-J10,IFERROR(INDEX(COA_Master!$N:$N,MATCH(C10,COA_Master!$A:$A,0)),0)+I10-J10))</x:f>
        <x:v>-400000</x:v>
      </x:c>
      <x:c r="L10" s="19" t="str">
        <x:f>IF(A10="","",IF(IFERROR(INDEX(COA_Master!$G:$G,MATCH(C10,COA_Master!$A:$A,0)),"Debit")="Debit",IF(K10&gt;=0,"Debit","Credit"),IF(K10&gt;=0,"Credit","Debit")))</x:f>
        <x:v>Debit</x:v>
      </x:c>
      <x:c r="M10" s="19" t="str">
        <x:f>IF(A10="","",Journal_Import!V10)</x:f>
        <x:v>purchase_june.xlsx</x:v>
      </x:c>
      <x:c r="N10" s="19" t="str">
        <x:f>IF(A10="","",Journal_Import!W10)</x:f>
        <x:v>Yes</x:v>
      </x:c>
      <x:c r="O10" s="19" t="str">
        <x:f>IF(A10="","",Journal_Import!Z10)</x:f>
        <x:v>No</x:v>
      </x:c>
    </x:row>
    <x:row r="11" ht="20" customHeight="1">
      <x:c r="A11" s="18" t="str">
        <x:f>IF(Journal_Import!A11="","",Journal_Import!A11)</x:f>
        <x:v>JNL-0004-01</x:v>
      </x:c>
      <x:c r="B11" s="18" t="str">
        <x:f>IF(A11="","",Journal_Import!B11)</x:f>
        <x:v>ENG-001</x:v>
      </x:c>
      <x:c r="C11" s="18" t="str">
        <x:f>IF(A11="","",Journal_Import!I11)</x:f>
        <x:v>610101</x:v>
      </x:c>
      <x:c r="D11" s="18">
        <x:f>IF(A11="","",Journal_Import!J11)</x:f>
      </x:c>
      <x:c r="E11" s="19">
        <x:f>IF(A11="","",Journal_Import!D11)</x:f>
        <x:v>45823</x:v>
      </x:c>
      <x:c r="F11" s="19" t="str">
        <x:f>IF(A11="","",Journal_Import!F11)</x:f>
        <x:v>Payroll</x:v>
      </x:c>
      <x:c r="G11" s="19" t="str">
        <x:f>IF(A11="","",Journal_Import!G11)</x:f>
        <x:v>PAY-0601</x:v>
      </x:c>
      <x:c r="H11" s="19" t="str">
        <x:f>IF(A11="","",Journal_Import!H11)</x:f>
        <x:v>Monthly payroll paid</x:v>
      </x:c>
      <x:c r="I11" s="12">
        <x:f>IF(A11="","",Journal_Import!S11)</x:f>
        <x:v>150000</x:v>
      </x:c>
      <x:c r="J11" s="12">
        <x:f>IF(A11="","",Journal_Import!T11)</x:f>
      </x:c>
      <x:c r="K11" s="12">
        <x:f>IF(C11="","",IF(C11=C10,K10+I11-J11,IFERROR(INDEX(COA_Master!$N:$N,MATCH(C11,COA_Master!$A:$A,0)),0)+I11-J11))</x:f>
        <x:v>150000</x:v>
      </x:c>
      <x:c r="L11" s="19" t="str">
        <x:f>IF(A11="","",IF(IFERROR(INDEX(COA_Master!$G:$G,MATCH(C11,COA_Master!$A:$A,0)),"Debit")="Debit",IF(K11&gt;=0,"Debit","Credit"),IF(K11&gt;=0,"Credit","Debit")))</x:f>
        <x:v>Debit</x:v>
      </x:c>
      <x:c r="M11" s="19" t="str">
        <x:f>IF(A11="","",Journal_Import!V11)</x:f>
        <x:v>payroll_june.xlsx</x:v>
      </x:c>
      <x:c r="N11" s="19" t="str">
        <x:f>IF(A11="","",Journal_Import!W11)</x:f>
        <x:v>Yes</x:v>
      </x:c>
      <x:c r="O11" s="19" t="str">
        <x:f>IF(A11="","",Journal_Import!Z11)</x:f>
        <x:v>No</x:v>
      </x:c>
    </x:row>
    <x:row r="12" ht="20" customHeight="1">
      <x:c r="A12" s="18" t="str">
        <x:f>IF(Journal_Import!A12="","",Journal_Import!A12)</x:f>
        <x:v>JNL-0004-02</x:v>
      </x:c>
      <x:c r="B12" s="18" t="str">
        <x:f>IF(A12="","",Journal_Import!B12)</x:f>
        <x:v>ENG-001</x:v>
      </x:c>
      <x:c r="C12" s="18" t="str">
        <x:f>IF(A12="","",Journal_Import!I12)</x:f>
        <x:v>154201</x:v>
      </x:c>
      <x:c r="D12" s="18" t="str">
        <x:f>IF(A12="","",Journal_Import!J12)</x:f>
        <x:v>Long-term Loan</x:v>
      </x:c>
      <x:c r="E12" s="19">
        <x:f>IF(A12="","",Journal_Import!D12)</x:f>
        <x:v>45823</x:v>
      </x:c>
      <x:c r="F12" s="19" t="str">
        <x:f>IF(A12="","",Journal_Import!F12)</x:f>
        <x:v>Payroll</x:v>
      </x:c>
      <x:c r="G12" s="19" t="str">
        <x:f>IF(A12="","",Journal_Import!G12)</x:f>
        <x:v>PAY-0601</x:v>
      </x:c>
      <x:c r="H12" s="19" t="str">
        <x:f>IF(A12="","",Journal_Import!H12)</x:f>
        <x:v>Monthly payroll paid</x:v>
      </x:c>
      <x:c r="I12" s="12">
        <x:f>IF(A12="","",Journal_Import!S12)</x:f>
      </x:c>
      <x:c r="J12" s="12">
        <x:f>IF(A12="","",Journal_Import!T12)</x:f>
        <x:v>150000</x:v>
      </x:c>
      <x:c r="K12" s="12">
        <x:f>IF(C12="","",IF(C12=C11,K11+I12-J12,IFERROR(INDEX(COA_Master!$N:$N,MATCH(C12,COA_Master!$A:$A,0)),0)+I12-J12))</x:f>
        <x:v>50000</x:v>
      </x:c>
      <x:c r="L12" s="19" t="str">
        <x:f>IF(A12="","",IF(IFERROR(INDEX(COA_Master!$G:$G,MATCH(C12,COA_Master!$A:$A,0)),"Debit")="Debit",IF(K12&gt;=0,"Debit","Credit"),IF(K12&gt;=0,"Credit","Debit")))</x:f>
        <x:v>Credit</x:v>
      </x:c>
      <x:c r="M12" s="19" t="str">
        <x:f>IF(A12="","",Journal_Import!V12)</x:f>
        <x:v>payroll_june.xlsx</x:v>
      </x:c>
      <x:c r="N12" s="19" t="str">
        <x:f>IF(A12="","",Journal_Import!W12)</x:f>
        <x:v>Yes</x:v>
      </x:c>
      <x:c r="O12" s="19" t="str">
        <x:f>IF(A12="","",Journal_Import!Z12)</x:f>
        <x:v>No</x:v>
      </x:c>
    </x:row>
    <x:row r="13" ht="20" customHeight="1">
      <x:c r="A13" s="18" t="str">
        <x:f>IF(Journal_Import!A13="","",Journal_Import!A13)</x:f>
        <x:v>JNL-0005-01</x:v>
      </x:c>
      <x:c r="B13" s="18" t="str">
        <x:f>IF(A13="","",Journal_Import!B13)</x:f>
        <x:v>ENG-001</x:v>
      </x:c>
      <x:c r="C13" s="18" t="str">
        <x:f>IF(A13="","",Journal_Import!I13)</x:f>
        <x:v>154201</x:v>
      </x:c>
      <x:c r="D13" s="18" t="str">
        <x:f>IF(A13="","",Journal_Import!J13)</x:f>
        <x:v>Long-term Loan</x:v>
      </x:c>
      <x:c r="E13" s="19">
        <x:f>IF(A13="","",Journal_Import!D13)</x:f>
        <x:v>45828</x:v>
      </x:c>
      <x:c r="F13" s="19" t="str">
        <x:f>IF(A13="","",Journal_Import!F13)</x:f>
        <x:v>RV</x:v>
      </x:c>
      <x:c r="G13" s="19" t="str">
        <x:f>IF(A13="","",Journal_Import!G13)</x:f>
        <x:v>BANK-INT</x:v>
      </x:c>
      <x:c r="H13" s="19" t="str">
        <x:f>IF(A13="","",Journal_Import!H13)</x:f>
        <x:v>Bank profit received</x:v>
      </x:c>
      <x:c r="I13" s="12">
        <x:f>IF(A13="","",Journal_Import!S13)</x:f>
        <x:v>10000</x:v>
      </x:c>
      <x:c r="J13" s="12">
        <x:f>IF(A13="","",Journal_Import!T13)</x:f>
      </x:c>
      <x:c r="K13" s="12">
        <x:f>IF(C13="","",IF(C13=C12,K12+I13-J13,IFERROR(INDEX(COA_Master!$N:$N,MATCH(C13,COA_Master!$A:$A,0)),0)+I13-J13))</x:f>
        <x:v>60000</x:v>
      </x:c>
      <x:c r="L13" s="19" t="str">
        <x:f>IF(A13="","",IF(IFERROR(INDEX(COA_Master!$G:$G,MATCH(C13,COA_Master!$A:$A,0)),"Debit")="Debit",IF(K13&gt;=0,"Debit","Credit"),IF(K13&gt;=0,"Credit","Debit")))</x:f>
        <x:v>Credit</x:v>
      </x:c>
      <x:c r="M13" s="19" t="str">
        <x:f>IF(A13="","",Journal_Import!V13)</x:f>
        <x:v>bank_june.xlsx</x:v>
      </x:c>
      <x:c r="N13" s="19" t="str">
        <x:f>IF(A13="","",Journal_Import!W13)</x:f>
        <x:v>Yes</x:v>
      </x:c>
      <x:c r="O13" s="19" t="str">
        <x:f>IF(A13="","",Journal_Import!Z13)</x:f>
        <x:v>No</x:v>
      </x:c>
    </x:row>
    <x:row r="14" ht="20" customHeight="1">
      <x:c r="A14" s="18" t="str">
        <x:f>IF(Journal_Import!A14="","",Journal_Import!A14)</x:f>
        <x:v>JNL-0005-02</x:v>
      </x:c>
      <x:c r="B14" s="18" t="str">
        <x:f>IF(A14="","",Journal_Import!B14)</x:f>
        <x:v>ENG-001</x:v>
      </x:c>
      <x:c r="C14" s="18" t="str">
        <x:f>IF(A14="","",Journal_Import!I14)</x:f>
        <x:v>420101</x:v>
      </x:c>
      <x:c r="D14" s="18" t="str">
        <x:f>IF(A14="","",Journal_Import!J14)</x:f>
        <x:v>Interest Expense</x:v>
      </x:c>
      <x:c r="E14" s="19">
        <x:f>IF(A14="","",Journal_Import!D14)</x:f>
        <x:v>45828</x:v>
      </x:c>
      <x:c r="F14" s="19" t="str">
        <x:f>IF(A14="","",Journal_Import!F14)</x:f>
        <x:v>RV</x:v>
      </x:c>
      <x:c r="G14" s="19" t="str">
        <x:f>IF(A14="","",Journal_Import!G14)</x:f>
        <x:v>BANK-INT</x:v>
      </x:c>
      <x:c r="H14" s="19" t="str">
        <x:f>IF(A14="","",Journal_Import!H14)</x:f>
        <x:v>Bank profit received</x:v>
      </x:c>
      <x:c r="I14" s="12">
        <x:f>IF(A14="","",Journal_Import!S14)</x:f>
      </x:c>
      <x:c r="J14" s="12">
        <x:f>IF(A14="","",Journal_Import!T14)</x:f>
        <x:v>10000</x:v>
      </x:c>
      <x:c r="K14" s="12">
        <x:f>IF(C14="","",IF(C14=C13,K13+I14-J14,IFERROR(INDEX(COA_Master!$N:$N,MATCH(C14,COA_Master!$A:$A,0)),0)+I14-J14))</x:f>
        <x:v>-10000</x:v>
      </x:c>
      <x:c r="L14" s="19" t="str">
        <x:f>IF(A14="","",IF(IFERROR(INDEX(COA_Master!$G:$G,MATCH(C14,COA_Master!$A:$A,0)),"Debit")="Debit",IF(K14&gt;=0,"Debit","Credit"),IF(K14&gt;=0,"Credit","Debit")))</x:f>
        <x:v>Credit</x:v>
      </x:c>
      <x:c r="M14" s="19" t="str">
        <x:f>IF(A14="","",Journal_Import!V14)</x:f>
        <x:v>bank_june.xlsx</x:v>
      </x:c>
      <x:c r="N14" s="19" t="str">
        <x:f>IF(A14="","",Journal_Import!W14)</x:f>
        <x:v>Yes</x:v>
      </x:c>
      <x:c r="O14" s="19" t="str">
        <x:f>IF(A14="","",Journal_Import!Z14)</x:f>
        <x:v>No</x:v>
      </x:c>
    </x:row>
    <x:row r="15" ht="20" customHeight="1">
      <x:c r="A15" s="18">
        <x:f>IF(Journal_Import!A15="","",Journal_Import!A15)</x:f>
      </x:c>
      <x:c r="B15" s="18">
        <x:f>IF(A15="","",Journal_Import!B15)</x:f>
      </x:c>
      <x:c r="C15" s="18">
        <x:f>IF(A15="","",Journal_Import!I15)</x:f>
      </x:c>
      <x:c r="D15" s="18">
        <x:f>IF(A15="","",Journal_Import!J15)</x:f>
      </x:c>
      <x:c r="E15" s="19">
        <x:f>IF(A15="","",Journal_Import!D15)</x:f>
      </x:c>
      <x:c r="F15" s="19">
        <x:f>IF(A15="","",Journal_Import!F15)</x:f>
      </x:c>
      <x:c r="G15" s="19">
        <x:f>IF(A15="","",Journal_Import!G15)</x:f>
      </x:c>
      <x:c r="H15" s="19">
        <x:f>IF(A15="","",Journal_Import!H15)</x:f>
      </x:c>
      <x:c r="I15" s="12">
        <x:f>IF(A15="","",Journal_Import!S15)</x:f>
      </x:c>
      <x:c r="J15" s="12">
        <x:f>IF(A15="","",Journal_Import!T15)</x:f>
      </x:c>
      <x:c r="K15" s="12">
        <x:f>IF(C15="","",IF(C15=C14,K14+I15-J15,IFERROR(INDEX(COA_Master!$N:$N,MATCH(C15,COA_Master!$A:$A,0)),0)+I15-J15))</x:f>
      </x:c>
      <x:c r="L15" s="19">
        <x:f>IF(A15="","",IF(IFERROR(INDEX(COA_Master!$G:$G,MATCH(C15,COA_Master!$A:$A,0)),"Debit")="Debit",IF(K15&gt;=0,"Debit","Credit"),IF(K15&gt;=0,"Credit","Debit")))</x:f>
      </x:c>
      <x:c r="M15" s="19">
        <x:f>IF(A15="","",Journal_Import!V15)</x:f>
      </x:c>
      <x:c r="N15" s="19">
        <x:f>IF(A15="","",Journal_Import!W15)</x:f>
      </x:c>
      <x:c r="O15" s="19">
        <x:f>IF(A15="","",Journal_Import!Z15)</x:f>
      </x:c>
    </x:row>
    <x:row r="16" ht="20" customHeight="1">
      <x:c r="A16" s="18">
        <x:f>IF(Journal_Import!A16="","",Journal_Import!A16)</x:f>
      </x:c>
      <x:c r="B16" s="18">
        <x:f>IF(A16="","",Journal_Import!B16)</x:f>
      </x:c>
      <x:c r="C16" s="18">
        <x:f>IF(A16="","",Journal_Import!I16)</x:f>
      </x:c>
      <x:c r="D16" s="18">
        <x:f>IF(A16="","",Journal_Import!J16)</x:f>
      </x:c>
      <x:c r="E16" s="19">
        <x:f>IF(A16="","",Journal_Import!D16)</x:f>
      </x:c>
      <x:c r="F16" s="19">
        <x:f>IF(A16="","",Journal_Import!F16)</x:f>
      </x:c>
      <x:c r="G16" s="19">
        <x:f>IF(A16="","",Journal_Import!G16)</x:f>
      </x:c>
      <x:c r="H16" s="19">
        <x:f>IF(A16="","",Journal_Import!H16)</x:f>
      </x:c>
      <x:c r="I16" s="12">
        <x:f>IF(A16="","",Journal_Import!S16)</x:f>
      </x:c>
      <x:c r="J16" s="12">
        <x:f>IF(A16="","",Journal_Import!T16)</x:f>
      </x:c>
      <x:c r="K16" s="12">
        <x:f>IF(C16="","",IF(C16=C15,K15+I16-J16,IFERROR(INDEX(COA_Master!$N:$N,MATCH(C16,COA_Master!$A:$A,0)),0)+I16-J16))</x:f>
      </x:c>
      <x:c r="L16" s="19">
        <x:f>IF(A16="","",IF(IFERROR(INDEX(COA_Master!$G:$G,MATCH(C16,COA_Master!$A:$A,0)),"Debit")="Debit",IF(K16&gt;=0,"Debit","Credit"),IF(K16&gt;=0,"Credit","Debit")))</x:f>
      </x:c>
      <x:c r="M16" s="19">
        <x:f>IF(A16="","",Journal_Import!V16)</x:f>
      </x:c>
      <x:c r="N16" s="19">
        <x:f>IF(A16="","",Journal_Import!W16)</x:f>
      </x:c>
      <x:c r="O16" s="19">
        <x:f>IF(A16="","",Journal_Import!Z16)</x:f>
      </x:c>
    </x:row>
    <x:row r="17" ht="20" customHeight="1">
      <x:c r="A17" s="18">
        <x:f>IF(Journal_Import!A17="","",Journal_Import!A17)</x:f>
      </x:c>
      <x:c r="B17" s="18">
        <x:f>IF(A17="","",Journal_Import!B17)</x:f>
      </x:c>
      <x:c r="C17" s="18">
        <x:f>IF(A17="","",Journal_Import!I17)</x:f>
      </x:c>
      <x:c r="D17" s="18">
        <x:f>IF(A17="","",Journal_Import!J17)</x:f>
      </x:c>
      <x:c r="E17" s="19">
        <x:f>IF(A17="","",Journal_Import!D17)</x:f>
      </x:c>
      <x:c r="F17" s="19">
        <x:f>IF(A17="","",Journal_Import!F17)</x:f>
      </x:c>
      <x:c r="G17" s="19">
        <x:f>IF(A17="","",Journal_Import!G17)</x:f>
      </x:c>
      <x:c r="H17" s="19">
        <x:f>IF(A17="","",Journal_Import!H17)</x:f>
      </x:c>
      <x:c r="I17" s="12">
        <x:f>IF(A17="","",Journal_Import!S17)</x:f>
      </x:c>
      <x:c r="J17" s="12">
        <x:f>IF(A17="","",Journal_Import!T17)</x:f>
      </x:c>
      <x:c r="K17" s="12">
        <x:f>IF(C17="","",IF(C17=C16,K16+I17-J17,IFERROR(INDEX(COA_Master!$N:$N,MATCH(C17,COA_Master!$A:$A,0)),0)+I17-J17))</x:f>
      </x:c>
      <x:c r="L17" s="19">
        <x:f>IF(A17="","",IF(IFERROR(INDEX(COA_Master!$G:$G,MATCH(C17,COA_Master!$A:$A,0)),"Debit")="Debit",IF(K17&gt;=0,"Debit","Credit"),IF(K17&gt;=0,"Credit","Debit")))</x:f>
      </x:c>
      <x:c r="M17" s="19">
        <x:f>IF(A17="","",Journal_Import!V17)</x:f>
      </x:c>
      <x:c r="N17" s="19">
        <x:f>IF(A17="","",Journal_Import!W17)</x:f>
      </x:c>
      <x:c r="O17" s="19">
        <x:f>IF(A17="","",Journal_Import!Z17)</x:f>
      </x:c>
    </x:row>
    <x:row r="18" ht="20" customHeight="1">
      <x:c r="A18" s="18">
        <x:f>IF(Journal_Import!A18="","",Journal_Import!A18)</x:f>
      </x:c>
      <x:c r="B18" s="18">
        <x:f>IF(A18="","",Journal_Import!B18)</x:f>
      </x:c>
      <x:c r="C18" s="18">
        <x:f>IF(A18="","",Journal_Import!I18)</x:f>
      </x:c>
      <x:c r="D18" s="18">
        <x:f>IF(A18="","",Journal_Import!J18)</x:f>
      </x:c>
      <x:c r="E18" s="19">
        <x:f>IF(A18="","",Journal_Import!D18)</x:f>
      </x:c>
      <x:c r="F18" s="19">
        <x:f>IF(A18="","",Journal_Import!F18)</x:f>
      </x:c>
      <x:c r="G18" s="19">
        <x:f>IF(A18="","",Journal_Import!G18)</x:f>
      </x:c>
      <x:c r="H18" s="19">
        <x:f>IF(A18="","",Journal_Import!H18)</x:f>
      </x:c>
      <x:c r="I18" s="12">
        <x:f>IF(A18="","",Journal_Import!S18)</x:f>
      </x:c>
      <x:c r="J18" s="12">
        <x:f>IF(A18="","",Journal_Import!T18)</x:f>
      </x:c>
      <x:c r="K18" s="12">
        <x:f>IF(C18="","",IF(C18=C17,K17+I18-J18,IFERROR(INDEX(COA_Master!$N:$N,MATCH(C18,COA_Master!$A:$A,0)),0)+I18-J18))</x:f>
      </x:c>
      <x:c r="L18" s="19">
        <x:f>IF(A18="","",IF(IFERROR(INDEX(COA_Master!$G:$G,MATCH(C18,COA_Master!$A:$A,0)),"Debit")="Debit",IF(K18&gt;=0,"Debit","Credit"),IF(K18&gt;=0,"Credit","Debit")))</x:f>
      </x:c>
      <x:c r="M18" s="19">
        <x:f>IF(A18="","",Journal_Import!V18)</x:f>
      </x:c>
      <x:c r="N18" s="19">
        <x:f>IF(A18="","",Journal_Import!W18)</x:f>
      </x:c>
      <x:c r="O18" s="19">
        <x:f>IF(A18="","",Journal_Import!Z18)</x:f>
      </x:c>
    </x:row>
    <x:row r="19" ht="20" customHeight="1">
      <x:c r="A19" s="18">
        <x:f>IF(Journal_Import!A19="","",Journal_Import!A19)</x:f>
      </x:c>
      <x:c r="B19" s="18">
        <x:f>IF(A19="","",Journal_Import!B19)</x:f>
      </x:c>
      <x:c r="C19" s="18">
        <x:f>IF(A19="","",Journal_Import!I19)</x:f>
      </x:c>
      <x:c r="D19" s="18">
        <x:f>IF(A19="","",Journal_Import!J19)</x:f>
      </x:c>
      <x:c r="E19" s="19">
        <x:f>IF(A19="","",Journal_Import!D19)</x:f>
      </x:c>
      <x:c r="F19" s="19">
        <x:f>IF(A19="","",Journal_Import!F19)</x:f>
      </x:c>
      <x:c r="G19" s="19">
        <x:f>IF(A19="","",Journal_Import!G19)</x:f>
      </x:c>
      <x:c r="H19" s="19">
        <x:f>IF(A19="","",Journal_Import!H19)</x:f>
      </x:c>
      <x:c r="I19" s="12">
        <x:f>IF(A19="","",Journal_Import!S19)</x:f>
      </x:c>
      <x:c r="J19" s="12">
        <x:f>IF(A19="","",Journal_Import!T19)</x:f>
      </x:c>
      <x:c r="K19" s="12">
        <x:f>IF(C19="","",IF(C19=C18,K18+I19-J19,IFERROR(INDEX(COA_Master!$N:$N,MATCH(C19,COA_Master!$A:$A,0)),0)+I19-J19))</x:f>
      </x:c>
      <x:c r="L19" s="19">
        <x:f>IF(A19="","",IF(IFERROR(INDEX(COA_Master!$G:$G,MATCH(C19,COA_Master!$A:$A,0)),"Debit")="Debit",IF(K19&gt;=0,"Debit","Credit"),IF(K19&gt;=0,"Credit","Debit")))</x:f>
      </x:c>
      <x:c r="M19" s="19">
        <x:f>IF(A19="","",Journal_Import!V19)</x:f>
      </x:c>
      <x:c r="N19" s="19">
        <x:f>IF(A19="","",Journal_Import!W19)</x:f>
      </x:c>
      <x:c r="O19" s="19">
        <x:f>IF(A19="","",Journal_Import!Z19)</x:f>
      </x:c>
    </x:row>
    <x:row r="20" ht="20" customHeight="1">
      <x:c r="A20" s="18">
        <x:f>IF(Journal_Import!A20="","",Journal_Import!A20)</x:f>
      </x:c>
      <x:c r="B20" s="18">
        <x:f>IF(A20="","",Journal_Import!B20)</x:f>
      </x:c>
      <x:c r="C20" s="18">
        <x:f>IF(A20="","",Journal_Import!I20)</x:f>
      </x:c>
      <x:c r="D20" s="18">
        <x:f>IF(A20="","",Journal_Import!J20)</x:f>
      </x:c>
      <x:c r="E20" s="19">
        <x:f>IF(A20="","",Journal_Import!D20)</x:f>
      </x:c>
      <x:c r="F20" s="19">
        <x:f>IF(A20="","",Journal_Import!F20)</x:f>
      </x:c>
      <x:c r="G20" s="19">
        <x:f>IF(A20="","",Journal_Import!G20)</x:f>
      </x:c>
      <x:c r="H20" s="19">
        <x:f>IF(A20="","",Journal_Import!H20)</x:f>
      </x:c>
      <x:c r="I20" s="12">
        <x:f>IF(A20="","",Journal_Import!S20)</x:f>
      </x:c>
      <x:c r="J20" s="12">
        <x:f>IF(A20="","",Journal_Import!T20)</x:f>
      </x:c>
      <x:c r="K20" s="12">
        <x:f>IF(C20="","",IF(C20=C19,K19+I20-J20,IFERROR(INDEX(COA_Master!$N:$N,MATCH(C20,COA_Master!$A:$A,0)),0)+I20-J20))</x:f>
      </x:c>
      <x:c r="L20" s="19">
        <x:f>IF(A20="","",IF(IFERROR(INDEX(COA_Master!$G:$G,MATCH(C20,COA_Master!$A:$A,0)),"Debit")="Debit",IF(K20&gt;=0,"Debit","Credit"),IF(K20&gt;=0,"Credit","Debit")))</x:f>
      </x:c>
      <x:c r="M20" s="19">
        <x:f>IF(A20="","",Journal_Import!V20)</x:f>
      </x:c>
      <x:c r="N20" s="19">
        <x:f>IF(A20="","",Journal_Import!W20)</x:f>
      </x:c>
      <x:c r="O20" s="19">
        <x:f>IF(A20="","",Journal_Import!Z20)</x:f>
      </x:c>
    </x:row>
    <x:row r="21">
      <x:c r="A21" s="18">
        <x:f>IF(Journal_Import!A21="","",Journal_Import!A21)</x:f>
      </x:c>
      <x:c r="B21" s="18">
        <x:f>IF(A21="","",Journal_Import!B21)</x:f>
      </x:c>
      <x:c r="C21" s="18">
        <x:f>IF(A21="","",Journal_Import!I21)</x:f>
      </x:c>
      <x:c r="D21" s="18">
        <x:f>IF(A21="","",Journal_Import!J21)</x:f>
      </x:c>
      <x:c r="E21" s="19">
        <x:f>IF(A21="","",Journal_Import!D21)</x:f>
      </x:c>
      <x:c r="F21" s="19">
        <x:f>IF(A21="","",Journal_Import!F21)</x:f>
      </x:c>
      <x:c r="G21" s="19">
        <x:f>IF(A21="","",Journal_Import!G21)</x:f>
      </x:c>
      <x:c r="H21" s="19">
        <x:f>IF(A21="","",Journal_Import!H21)</x:f>
      </x:c>
      <x:c r="I21" s="12">
        <x:f>IF(A21="","",Journal_Import!S21)</x:f>
      </x:c>
      <x:c r="J21" s="12">
        <x:f>IF(A21="","",Journal_Import!T21)</x:f>
      </x:c>
      <x:c r="K21" s="12">
        <x:f>IF(C21="","",IF(C21=C20,K20+I21-J21,IFERROR(INDEX(COA_Master!$N:$N,MATCH(C21,COA_Master!$A:$A,0)),0)+I21-J21))</x:f>
      </x:c>
      <x:c r="L21" s="19">
        <x:f>IF(A21="","",IF(IFERROR(INDEX(COA_Master!$G:$G,MATCH(C21,COA_Master!$A:$A,0)),"Debit")="Debit",IF(K21&gt;=0,"Debit","Credit"),IF(K21&gt;=0,"Credit","Debit")))</x:f>
      </x:c>
      <x:c r="M21" s="19">
        <x:f>IF(A21="","",Journal_Import!V21)</x:f>
      </x:c>
      <x:c r="N21" s="19">
        <x:f>IF(A21="","",Journal_Import!W21)</x:f>
      </x:c>
      <x:c r="O21" s="19">
        <x:f>IF(A21="","",Journal_Import!Z21)</x:f>
      </x:c>
    </x:row>
    <x:row r="22">
      <x:c r="A22" s="18">
        <x:f>IF(Journal_Import!A22="","",Journal_Import!A22)</x:f>
      </x:c>
      <x:c r="B22" s="18">
        <x:f>IF(A22="","",Journal_Import!B22)</x:f>
      </x:c>
      <x:c r="C22" s="18">
        <x:f>IF(A22="","",Journal_Import!I22)</x:f>
      </x:c>
      <x:c r="D22" s="18">
        <x:f>IF(A22="","",Journal_Import!J22)</x:f>
      </x:c>
      <x:c r="E22" s="19">
        <x:f>IF(A22="","",Journal_Import!D22)</x:f>
      </x:c>
      <x:c r="F22" s="19">
        <x:f>IF(A22="","",Journal_Import!F22)</x:f>
      </x:c>
      <x:c r="G22" s="19">
        <x:f>IF(A22="","",Journal_Import!G22)</x:f>
      </x:c>
      <x:c r="H22" s="19">
        <x:f>IF(A22="","",Journal_Import!H22)</x:f>
      </x:c>
      <x:c r="I22" s="12">
        <x:f>IF(A22="","",Journal_Import!S22)</x:f>
      </x:c>
      <x:c r="J22" s="12">
        <x:f>IF(A22="","",Journal_Import!T22)</x:f>
      </x:c>
      <x:c r="K22" s="12">
        <x:f>IF(C22="","",IF(C22=C21,K21+I22-J22,IFERROR(INDEX(COA_Master!$N:$N,MATCH(C22,COA_Master!$A:$A,0)),0)+I22-J22))</x:f>
      </x:c>
      <x:c r="L22" s="19">
        <x:f>IF(A22="","",IF(IFERROR(INDEX(COA_Master!$G:$G,MATCH(C22,COA_Master!$A:$A,0)),"Debit")="Debit",IF(K22&gt;=0,"Debit","Credit"),IF(K22&gt;=0,"Credit","Debit")))</x:f>
      </x:c>
      <x:c r="M22" s="19">
        <x:f>IF(A22="","",Journal_Import!V22)</x:f>
      </x:c>
      <x:c r="N22" s="19">
        <x:f>IF(A22="","",Journal_Import!W22)</x:f>
      </x:c>
      <x:c r="O22" s="19">
        <x:f>IF(A22="","",Journal_Import!Z22)</x:f>
      </x:c>
    </x:row>
    <x:row r="23">
      <x:c r="A23" s="18">
        <x:f>IF(Journal_Import!A23="","",Journal_Import!A23)</x:f>
      </x:c>
      <x:c r="B23" s="18">
        <x:f>IF(A23="","",Journal_Import!B23)</x:f>
      </x:c>
      <x:c r="C23" s="18">
        <x:f>IF(A23="","",Journal_Import!I23)</x:f>
      </x:c>
      <x:c r="D23" s="18">
        <x:f>IF(A23="","",Journal_Import!J23)</x:f>
      </x:c>
      <x:c r="E23" s="19">
        <x:f>IF(A23="","",Journal_Import!D23)</x:f>
      </x:c>
      <x:c r="F23" s="19">
        <x:f>IF(A23="","",Journal_Import!F23)</x:f>
      </x:c>
      <x:c r="G23" s="19">
        <x:f>IF(A23="","",Journal_Import!G23)</x:f>
      </x:c>
      <x:c r="H23" s="19">
        <x:f>IF(A23="","",Journal_Import!H23)</x:f>
      </x:c>
      <x:c r="I23" s="12">
        <x:f>IF(A23="","",Journal_Import!S23)</x:f>
      </x:c>
      <x:c r="J23" s="12">
        <x:f>IF(A23="","",Journal_Import!T23)</x:f>
      </x:c>
      <x:c r="K23" s="12">
        <x:f>IF(C23="","",IF(C23=C22,K22+I23-J23,IFERROR(INDEX(COA_Master!$N:$N,MATCH(C23,COA_Master!$A:$A,0)),0)+I23-J23))</x:f>
      </x:c>
      <x:c r="L23" s="19">
        <x:f>IF(A23="","",IF(IFERROR(INDEX(COA_Master!$G:$G,MATCH(C23,COA_Master!$A:$A,0)),"Debit")="Debit",IF(K23&gt;=0,"Debit","Credit"),IF(K23&gt;=0,"Credit","Debit")))</x:f>
      </x:c>
      <x:c r="M23" s="19">
        <x:f>IF(A23="","",Journal_Import!V23)</x:f>
      </x:c>
      <x:c r="N23" s="19">
        <x:f>IF(A23="","",Journal_Import!W23)</x:f>
      </x:c>
      <x:c r="O23" s="19">
        <x:f>IF(A23="","",Journal_Import!Z23)</x:f>
      </x:c>
    </x:row>
    <x:row r="24">
      <x:c r="A24" s="18">
        <x:f>IF(Journal_Import!A24="","",Journal_Import!A24)</x:f>
      </x:c>
      <x:c r="B24" s="18">
        <x:f>IF(A24="","",Journal_Import!B24)</x:f>
      </x:c>
      <x:c r="C24" s="18">
        <x:f>IF(A24="","",Journal_Import!I24)</x:f>
      </x:c>
      <x:c r="D24" s="18">
        <x:f>IF(A24="","",Journal_Import!J24)</x:f>
      </x:c>
      <x:c r="E24" s="19">
        <x:f>IF(A24="","",Journal_Import!D24)</x:f>
      </x:c>
      <x:c r="F24" s="19">
        <x:f>IF(A24="","",Journal_Import!F24)</x:f>
      </x:c>
      <x:c r="G24" s="19">
        <x:f>IF(A24="","",Journal_Import!G24)</x:f>
      </x:c>
      <x:c r="H24" s="19">
        <x:f>IF(A24="","",Journal_Import!H24)</x:f>
      </x:c>
      <x:c r="I24" s="12">
        <x:f>IF(A24="","",Journal_Import!S24)</x:f>
      </x:c>
      <x:c r="J24" s="12">
        <x:f>IF(A24="","",Journal_Import!T24)</x:f>
      </x:c>
      <x:c r="K24" s="12">
        <x:f>IF(C24="","",IF(C24=C23,K23+I24-J24,IFERROR(INDEX(COA_Master!$N:$N,MATCH(C24,COA_Master!$A:$A,0)),0)+I24-J24))</x:f>
      </x:c>
      <x:c r="L24" s="19">
        <x:f>IF(A24="","",IF(IFERROR(INDEX(COA_Master!$G:$G,MATCH(C24,COA_Master!$A:$A,0)),"Debit")="Debit",IF(K24&gt;=0,"Debit","Credit"),IF(K24&gt;=0,"Credit","Debit")))</x:f>
      </x:c>
      <x:c r="M24" s="19">
        <x:f>IF(A24="","",Journal_Import!V24)</x:f>
      </x:c>
      <x:c r="N24" s="19">
        <x:f>IF(A24="","",Journal_Import!W24)</x:f>
      </x:c>
      <x:c r="O24" s="19">
        <x:f>IF(A24="","",Journal_Import!Z24)</x:f>
      </x:c>
    </x:row>
    <x:row r="25">
      <x:c r="A25" s="18">
        <x:f>IF(Journal_Import!A25="","",Journal_Import!A25)</x:f>
      </x:c>
      <x:c r="B25" s="18">
        <x:f>IF(A25="","",Journal_Import!B25)</x:f>
      </x:c>
      <x:c r="C25" s="18">
        <x:f>IF(A25="","",Journal_Import!I25)</x:f>
      </x:c>
      <x:c r="D25" s="18">
        <x:f>IF(A25="","",Journal_Import!J25)</x:f>
      </x:c>
      <x:c r="E25" s="19">
        <x:f>IF(A25="","",Journal_Import!D25)</x:f>
      </x:c>
      <x:c r="F25" s="19">
        <x:f>IF(A25="","",Journal_Import!F25)</x:f>
      </x:c>
      <x:c r="G25" s="19">
        <x:f>IF(A25="","",Journal_Import!G25)</x:f>
      </x:c>
      <x:c r="H25" s="19">
        <x:f>IF(A25="","",Journal_Import!H25)</x:f>
      </x:c>
      <x:c r="I25" s="12">
        <x:f>IF(A25="","",Journal_Import!S25)</x:f>
      </x:c>
      <x:c r="J25" s="12">
        <x:f>IF(A25="","",Journal_Import!T25)</x:f>
      </x:c>
      <x:c r="K25" s="12">
        <x:f>IF(C25="","",IF(C25=C24,K24+I25-J25,IFERROR(INDEX(COA_Master!$N:$N,MATCH(C25,COA_Master!$A:$A,0)),0)+I25-J25))</x:f>
      </x:c>
      <x:c r="L25" s="19">
        <x:f>IF(A25="","",IF(IFERROR(INDEX(COA_Master!$G:$G,MATCH(C25,COA_Master!$A:$A,0)),"Debit")="Debit",IF(K25&gt;=0,"Debit","Credit"),IF(K25&gt;=0,"Credit","Debit")))</x:f>
      </x:c>
      <x:c r="M25" s="19">
        <x:f>IF(A25="","",Journal_Import!V25)</x:f>
      </x:c>
      <x:c r="N25" s="19">
        <x:f>IF(A25="","",Journal_Import!W25)</x:f>
      </x:c>
      <x:c r="O25" s="19">
        <x:f>IF(A25="","",Journal_Import!Z25)</x:f>
      </x:c>
    </x:row>
    <x:row r="26">
      <x:c r="A26" s="18">
        <x:f>IF(Journal_Import!A26="","",Journal_Import!A26)</x:f>
      </x:c>
      <x:c r="B26" s="18">
        <x:f>IF(A26="","",Journal_Import!B26)</x:f>
      </x:c>
      <x:c r="C26" s="18">
        <x:f>IF(A26="","",Journal_Import!I26)</x:f>
      </x:c>
      <x:c r="D26" s="18">
        <x:f>IF(A26="","",Journal_Import!J26)</x:f>
      </x:c>
      <x:c r="E26" s="19">
        <x:f>IF(A26="","",Journal_Import!D26)</x:f>
      </x:c>
      <x:c r="F26" s="19">
        <x:f>IF(A26="","",Journal_Import!F26)</x:f>
      </x:c>
      <x:c r="G26" s="19">
        <x:f>IF(A26="","",Journal_Import!G26)</x:f>
      </x:c>
      <x:c r="H26" s="19">
        <x:f>IF(A26="","",Journal_Import!H26)</x:f>
      </x:c>
      <x:c r="I26" s="12">
        <x:f>IF(A26="","",Journal_Import!S26)</x:f>
      </x:c>
      <x:c r="J26" s="12">
        <x:f>IF(A26="","",Journal_Import!T26)</x:f>
      </x:c>
      <x:c r="K26" s="12">
        <x:f>IF(C26="","",IF(C26=C25,K25+I26-J26,IFERROR(INDEX(COA_Master!$N:$N,MATCH(C26,COA_Master!$A:$A,0)),0)+I26-J26))</x:f>
      </x:c>
      <x:c r="L26" s="19">
        <x:f>IF(A26="","",IF(IFERROR(INDEX(COA_Master!$G:$G,MATCH(C26,COA_Master!$A:$A,0)),"Debit")="Debit",IF(K26&gt;=0,"Debit","Credit"),IF(K26&gt;=0,"Credit","Debit")))</x:f>
      </x:c>
      <x:c r="M26" s="19">
        <x:f>IF(A26="","",Journal_Import!V26)</x:f>
      </x:c>
      <x:c r="N26" s="19">
        <x:f>IF(A26="","",Journal_Import!W26)</x:f>
      </x:c>
      <x:c r="O26" s="19">
        <x:f>IF(A26="","",Journal_Import!Z26)</x:f>
      </x:c>
    </x:row>
    <x:row r="27">
      <x:c r="A27" s="18">
        <x:f>IF(Journal_Import!A27="","",Journal_Import!A27)</x:f>
      </x:c>
      <x:c r="B27" s="18">
        <x:f>IF(A27="","",Journal_Import!B27)</x:f>
      </x:c>
      <x:c r="C27" s="18">
        <x:f>IF(A27="","",Journal_Import!I27)</x:f>
      </x:c>
      <x:c r="D27" s="18">
        <x:f>IF(A27="","",Journal_Import!J27)</x:f>
      </x:c>
      <x:c r="E27" s="19">
        <x:f>IF(A27="","",Journal_Import!D27)</x:f>
      </x:c>
      <x:c r="F27" s="19">
        <x:f>IF(A27="","",Journal_Import!F27)</x:f>
      </x:c>
      <x:c r="G27" s="19">
        <x:f>IF(A27="","",Journal_Import!G27)</x:f>
      </x:c>
      <x:c r="H27" s="19">
        <x:f>IF(A27="","",Journal_Import!H27)</x:f>
      </x:c>
      <x:c r="I27" s="12">
        <x:f>IF(A27="","",Journal_Import!S27)</x:f>
      </x:c>
      <x:c r="J27" s="12">
        <x:f>IF(A27="","",Journal_Import!T27)</x:f>
      </x:c>
      <x:c r="K27" s="12">
        <x:f>IF(C27="","",IF(C27=C26,K26+I27-J27,IFERROR(INDEX(COA_Master!$N:$N,MATCH(C27,COA_Master!$A:$A,0)),0)+I27-J27))</x:f>
      </x:c>
      <x:c r="L27" s="19">
        <x:f>IF(A27="","",IF(IFERROR(INDEX(COA_Master!$G:$G,MATCH(C27,COA_Master!$A:$A,0)),"Debit")="Debit",IF(K27&gt;=0,"Debit","Credit"),IF(K27&gt;=0,"Credit","Debit")))</x:f>
      </x:c>
      <x:c r="M27" s="19">
        <x:f>IF(A27="","",Journal_Import!V27)</x:f>
      </x:c>
      <x:c r="N27" s="19">
        <x:f>IF(A27="","",Journal_Import!W27)</x:f>
      </x:c>
      <x:c r="O27" s="19">
        <x:f>IF(A27="","",Journal_Import!Z27)</x:f>
      </x:c>
    </x:row>
    <x:row r="28">
      <x:c r="A28" s="18">
        <x:f>IF(Journal_Import!A28="","",Journal_Import!A28)</x:f>
      </x:c>
      <x:c r="B28" s="18">
        <x:f>IF(A28="","",Journal_Import!B28)</x:f>
      </x:c>
      <x:c r="C28" s="18">
        <x:f>IF(A28="","",Journal_Import!I28)</x:f>
      </x:c>
      <x:c r="D28" s="18">
        <x:f>IF(A28="","",Journal_Import!J28)</x:f>
      </x:c>
      <x:c r="E28" s="19">
        <x:f>IF(A28="","",Journal_Import!D28)</x:f>
      </x:c>
      <x:c r="F28" s="19">
        <x:f>IF(A28="","",Journal_Import!F28)</x:f>
      </x:c>
      <x:c r="G28" s="19">
        <x:f>IF(A28="","",Journal_Import!G28)</x:f>
      </x:c>
      <x:c r="H28" s="19">
        <x:f>IF(A28="","",Journal_Import!H28)</x:f>
      </x:c>
      <x:c r="I28" s="12">
        <x:f>IF(A28="","",Journal_Import!S28)</x:f>
      </x:c>
      <x:c r="J28" s="12">
        <x:f>IF(A28="","",Journal_Import!T28)</x:f>
      </x:c>
      <x:c r="K28" s="12">
        <x:f>IF(C28="","",IF(C28=C27,K27+I28-J28,IFERROR(INDEX(COA_Master!$N:$N,MATCH(C28,COA_Master!$A:$A,0)),0)+I28-J28))</x:f>
      </x:c>
      <x:c r="L28" s="19">
        <x:f>IF(A28="","",IF(IFERROR(INDEX(COA_Master!$G:$G,MATCH(C28,COA_Master!$A:$A,0)),"Debit")="Debit",IF(K28&gt;=0,"Debit","Credit"),IF(K28&gt;=0,"Credit","Debit")))</x:f>
      </x:c>
      <x:c r="M28" s="19">
        <x:f>IF(A28="","",Journal_Import!V28)</x:f>
      </x:c>
      <x:c r="N28" s="19">
        <x:f>IF(A28="","",Journal_Import!W28)</x:f>
      </x:c>
      <x:c r="O28" s="19">
        <x:f>IF(A28="","",Journal_Import!Z28)</x:f>
      </x:c>
    </x:row>
    <x:row r="29">
      <x:c r="A29" s="18">
        <x:f>IF(Journal_Import!A29="","",Journal_Import!A29)</x:f>
      </x:c>
      <x:c r="B29" s="18">
        <x:f>IF(A29="","",Journal_Import!B29)</x:f>
      </x:c>
      <x:c r="C29" s="18">
        <x:f>IF(A29="","",Journal_Import!I29)</x:f>
      </x:c>
      <x:c r="D29" s="18">
        <x:f>IF(A29="","",Journal_Import!J29)</x:f>
      </x:c>
      <x:c r="E29" s="19">
        <x:f>IF(A29="","",Journal_Import!D29)</x:f>
      </x:c>
      <x:c r="F29" s="19">
        <x:f>IF(A29="","",Journal_Import!F29)</x:f>
      </x:c>
      <x:c r="G29" s="19">
        <x:f>IF(A29="","",Journal_Import!G29)</x:f>
      </x:c>
      <x:c r="H29" s="19">
        <x:f>IF(A29="","",Journal_Import!H29)</x:f>
      </x:c>
      <x:c r="I29" s="12">
        <x:f>IF(A29="","",Journal_Import!S29)</x:f>
      </x:c>
      <x:c r="J29" s="12">
        <x:f>IF(A29="","",Journal_Import!T29)</x:f>
      </x:c>
      <x:c r="K29" s="12">
        <x:f>IF(C29="","",IF(C29=C28,K28+I29-J29,IFERROR(INDEX(COA_Master!$N:$N,MATCH(C29,COA_Master!$A:$A,0)),0)+I29-J29))</x:f>
      </x:c>
      <x:c r="L29" s="19">
        <x:f>IF(A29="","",IF(IFERROR(INDEX(COA_Master!$G:$G,MATCH(C29,COA_Master!$A:$A,0)),"Debit")="Debit",IF(K29&gt;=0,"Debit","Credit"),IF(K29&gt;=0,"Credit","Debit")))</x:f>
      </x:c>
      <x:c r="M29" s="19">
        <x:f>IF(A29="","",Journal_Import!V29)</x:f>
      </x:c>
      <x:c r="N29" s="19">
        <x:f>IF(A29="","",Journal_Import!W29)</x:f>
      </x:c>
      <x:c r="O29" s="19">
        <x:f>IF(A29="","",Journal_Import!Z29)</x:f>
      </x:c>
    </x:row>
    <x:row r="30">
      <x:c r="A30" s="18">
        <x:f>IF(Journal_Import!A30="","",Journal_Import!A30)</x:f>
      </x:c>
      <x:c r="B30" s="18">
        <x:f>IF(A30="","",Journal_Import!B30)</x:f>
      </x:c>
      <x:c r="C30" s="18">
        <x:f>IF(A30="","",Journal_Import!I30)</x:f>
      </x:c>
      <x:c r="D30" s="18">
        <x:f>IF(A30="","",Journal_Import!J30)</x:f>
      </x:c>
      <x:c r="E30" s="19">
        <x:f>IF(A30="","",Journal_Import!D30)</x:f>
      </x:c>
      <x:c r="F30" s="19">
        <x:f>IF(A30="","",Journal_Import!F30)</x:f>
      </x:c>
      <x:c r="G30" s="19">
        <x:f>IF(A30="","",Journal_Import!G30)</x:f>
      </x:c>
      <x:c r="H30" s="19">
        <x:f>IF(A30="","",Journal_Import!H30)</x:f>
      </x:c>
      <x:c r="I30" s="12">
        <x:f>IF(A30="","",Journal_Import!S30)</x:f>
      </x:c>
      <x:c r="J30" s="12">
        <x:f>IF(A30="","",Journal_Import!T30)</x:f>
      </x:c>
      <x:c r="K30" s="12">
        <x:f>IF(C30="","",IF(C30=C29,K29+I30-J30,IFERROR(INDEX(COA_Master!$N:$N,MATCH(C30,COA_Master!$A:$A,0)),0)+I30-J30))</x:f>
      </x:c>
      <x:c r="L30" s="19">
        <x:f>IF(A30="","",IF(IFERROR(INDEX(COA_Master!$G:$G,MATCH(C30,COA_Master!$A:$A,0)),"Debit")="Debit",IF(K30&gt;=0,"Debit","Credit"),IF(K30&gt;=0,"Credit","Debit")))</x:f>
      </x:c>
      <x:c r="M30" s="19">
        <x:f>IF(A30="","",Journal_Import!V30)</x:f>
      </x:c>
      <x:c r="N30" s="19">
        <x:f>IF(A30="","",Journal_Import!W30)</x:f>
      </x:c>
      <x:c r="O30" s="19">
        <x:f>IF(A30="","",Journal_Import!Z30)</x:f>
      </x:c>
    </x:row>
    <x:row r="31">
      <x:c r="A31" s="18">
        <x:f>IF(Journal_Import!A31="","",Journal_Import!A31)</x:f>
      </x:c>
      <x:c r="B31" s="18">
        <x:f>IF(A31="","",Journal_Import!B31)</x:f>
      </x:c>
      <x:c r="C31" s="18">
        <x:f>IF(A31="","",Journal_Import!I31)</x:f>
      </x:c>
      <x:c r="D31" s="18">
        <x:f>IF(A31="","",Journal_Import!J31)</x:f>
      </x:c>
      <x:c r="E31" s="19">
        <x:f>IF(A31="","",Journal_Import!D31)</x:f>
      </x:c>
      <x:c r="F31" s="19">
        <x:f>IF(A31="","",Journal_Import!F31)</x:f>
      </x:c>
      <x:c r="G31" s="19">
        <x:f>IF(A31="","",Journal_Import!G31)</x:f>
      </x:c>
      <x:c r="H31" s="19">
        <x:f>IF(A31="","",Journal_Import!H31)</x:f>
      </x:c>
      <x:c r="I31" s="12">
        <x:f>IF(A31="","",Journal_Import!S31)</x:f>
      </x:c>
      <x:c r="J31" s="12">
        <x:f>IF(A31="","",Journal_Import!T31)</x:f>
      </x:c>
      <x:c r="K31" s="12">
        <x:f>IF(C31="","",IF(C31=C30,K30+I31-J31,IFERROR(INDEX(COA_Master!$N:$N,MATCH(C31,COA_Master!$A:$A,0)),0)+I31-J31))</x:f>
      </x:c>
      <x:c r="L31" s="19">
        <x:f>IF(A31="","",IF(IFERROR(INDEX(COA_Master!$G:$G,MATCH(C31,COA_Master!$A:$A,0)),"Debit")="Debit",IF(K31&gt;=0,"Debit","Credit"),IF(K31&gt;=0,"Credit","Debit")))</x:f>
      </x:c>
      <x:c r="M31" s="19">
        <x:f>IF(A31="","",Journal_Import!V31)</x:f>
      </x:c>
      <x:c r="N31" s="19">
        <x:f>IF(A31="","",Journal_Import!W31)</x:f>
      </x:c>
      <x:c r="O31" s="19">
        <x:f>IF(A31="","",Journal_Import!Z31)</x:f>
      </x:c>
    </x:row>
    <x:row r="32">
      <x:c r="A32" s="18">
        <x:f>IF(Journal_Import!A32="","",Journal_Import!A32)</x:f>
      </x:c>
      <x:c r="B32" s="18">
        <x:f>IF(A32="","",Journal_Import!B32)</x:f>
      </x:c>
      <x:c r="C32" s="18">
        <x:f>IF(A32="","",Journal_Import!I32)</x:f>
      </x:c>
      <x:c r="D32" s="18">
        <x:f>IF(A32="","",Journal_Import!J32)</x:f>
      </x:c>
      <x:c r="E32" s="19">
        <x:f>IF(A32="","",Journal_Import!D32)</x:f>
      </x:c>
      <x:c r="F32" s="19">
        <x:f>IF(A32="","",Journal_Import!F32)</x:f>
      </x:c>
      <x:c r="G32" s="19">
        <x:f>IF(A32="","",Journal_Import!G32)</x:f>
      </x:c>
      <x:c r="H32" s="19">
        <x:f>IF(A32="","",Journal_Import!H32)</x:f>
      </x:c>
      <x:c r="I32" s="12">
        <x:f>IF(A32="","",Journal_Import!S32)</x:f>
      </x:c>
      <x:c r="J32" s="12">
        <x:f>IF(A32="","",Journal_Import!T32)</x:f>
      </x:c>
      <x:c r="K32" s="12">
        <x:f>IF(C32="","",IF(C32=C31,K31+I32-J32,IFERROR(INDEX(COA_Master!$N:$N,MATCH(C32,COA_Master!$A:$A,0)),0)+I32-J32))</x:f>
      </x:c>
      <x:c r="L32" s="19">
        <x:f>IF(A32="","",IF(IFERROR(INDEX(COA_Master!$G:$G,MATCH(C32,COA_Master!$A:$A,0)),"Debit")="Debit",IF(K32&gt;=0,"Debit","Credit"),IF(K32&gt;=0,"Credit","Debit")))</x:f>
      </x:c>
      <x:c r="M32" s="19">
        <x:f>IF(A32="","",Journal_Import!V32)</x:f>
      </x:c>
      <x:c r="N32" s="19">
        <x:f>IF(A32="","",Journal_Import!W32)</x:f>
      </x:c>
      <x:c r="O32" s="19">
        <x:f>IF(A32="","",Journal_Import!Z32)</x:f>
      </x:c>
    </x:row>
    <x:row r="33">
      <x:c r="A33" s="18">
        <x:f>IF(Journal_Import!A33="","",Journal_Import!A33)</x:f>
      </x:c>
      <x:c r="B33" s="18">
        <x:f>IF(A33="","",Journal_Import!B33)</x:f>
      </x:c>
      <x:c r="C33" s="18">
        <x:f>IF(A33="","",Journal_Import!I33)</x:f>
      </x:c>
      <x:c r="D33" s="18">
        <x:f>IF(A33="","",Journal_Import!J33)</x:f>
      </x:c>
      <x:c r="E33" s="19">
        <x:f>IF(A33="","",Journal_Import!D33)</x:f>
      </x:c>
      <x:c r="F33" s="19">
        <x:f>IF(A33="","",Journal_Import!F33)</x:f>
      </x:c>
      <x:c r="G33" s="19">
        <x:f>IF(A33="","",Journal_Import!G33)</x:f>
      </x:c>
      <x:c r="H33" s="19">
        <x:f>IF(A33="","",Journal_Import!H33)</x:f>
      </x:c>
      <x:c r="I33" s="12">
        <x:f>IF(A33="","",Journal_Import!S33)</x:f>
      </x:c>
      <x:c r="J33" s="12">
        <x:f>IF(A33="","",Journal_Import!T33)</x:f>
      </x:c>
      <x:c r="K33" s="12">
        <x:f>IF(C33="","",IF(C33=C32,K32+I33-J33,IFERROR(INDEX(COA_Master!$N:$N,MATCH(C33,COA_Master!$A:$A,0)),0)+I33-J33))</x:f>
      </x:c>
      <x:c r="L33" s="19">
        <x:f>IF(A33="","",IF(IFERROR(INDEX(COA_Master!$G:$G,MATCH(C33,COA_Master!$A:$A,0)),"Debit")="Debit",IF(K33&gt;=0,"Debit","Credit"),IF(K33&gt;=0,"Credit","Debit")))</x:f>
      </x:c>
      <x:c r="M33" s="19">
        <x:f>IF(A33="","",Journal_Import!V33)</x:f>
      </x:c>
      <x:c r="N33" s="19">
        <x:f>IF(A33="","",Journal_Import!W33)</x:f>
      </x:c>
      <x:c r="O33" s="19">
        <x:f>IF(A33="","",Journal_Import!Z33)</x:f>
      </x:c>
    </x:row>
    <x:row r="34">
      <x:c r="A34" s="18">
        <x:f>IF(Journal_Import!A34="","",Journal_Import!A34)</x:f>
      </x:c>
      <x:c r="B34" s="18">
        <x:f>IF(A34="","",Journal_Import!B34)</x:f>
      </x:c>
      <x:c r="C34" s="18">
        <x:f>IF(A34="","",Journal_Import!I34)</x:f>
      </x:c>
      <x:c r="D34" s="18">
        <x:f>IF(A34="","",Journal_Import!J34)</x:f>
      </x:c>
      <x:c r="E34" s="19">
        <x:f>IF(A34="","",Journal_Import!D34)</x:f>
      </x:c>
      <x:c r="F34" s="19">
        <x:f>IF(A34="","",Journal_Import!F34)</x:f>
      </x:c>
      <x:c r="G34" s="19">
        <x:f>IF(A34="","",Journal_Import!G34)</x:f>
      </x:c>
      <x:c r="H34" s="19">
        <x:f>IF(A34="","",Journal_Import!H34)</x:f>
      </x:c>
      <x:c r="I34" s="12">
        <x:f>IF(A34="","",Journal_Import!S34)</x:f>
      </x:c>
      <x:c r="J34" s="12">
        <x:f>IF(A34="","",Journal_Import!T34)</x:f>
      </x:c>
      <x:c r="K34" s="12">
        <x:f>IF(C34="","",IF(C34=C33,K33+I34-J34,IFERROR(INDEX(COA_Master!$N:$N,MATCH(C34,COA_Master!$A:$A,0)),0)+I34-J34))</x:f>
      </x:c>
      <x:c r="L34" s="19">
        <x:f>IF(A34="","",IF(IFERROR(INDEX(COA_Master!$G:$G,MATCH(C34,COA_Master!$A:$A,0)),"Debit")="Debit",IF(K34&gt;=0,"Debit","Credit"),IF(K34&gt;=0,"Credit","Debit")))</x:f>
      </x:c>
      <x:c r="M34" s="19">
        <x:f>IF(A34="","",Journal_Import!V34)</x:f>
      </x:c>
      <x:c r="N34" s="19">
        <x:f>IF(A34="","",Journal_Import!W34)</x:f>
      </x:c>
      <x:c r="O34" s="19">
        <x:f>IF(A34="","",Journal_Import!Z34)</x:f>
      </x:c>
    </x:row>
    <x:row r="35">
      <x:c r="A35" s="18">
        <x:f>IF(Journal_Import!A35="","",Journal_Import!A35)</x:f>
      </x:c>
      <x:c r="B35" s="18">
        <x:f>IF(A35="","",Journal_Import!B35)</x:f>
      </x:c>
      <x:c r="C35" s="18">
        <x:f>IF(A35="","",Journal_Import!I35)</x:f>
      </x:c>
      <x:c r="D35" s="18">
        <x:f>IF(A35="","",Journal_Import!J35)</x:f>
      </x:c>
      <x:c r="E35" s="19">
        <x:f>IF(A35="","",Journal_Import!D35)</x:f>
      </x:c>
      <x:c r="F35" s="19">
        <x:f>IF(A35="","",Journal_Import!F35)</x:f>
      </x:c>
      <x:c r="G35" s="19">
        <x:f>IF(A35="","",Journal_Import!G35)</x:f>
      </x:c>
      <x:c r="H35" s="19">
        <x:f>IF(A35="","",Journal_Import!H35)</x:f>
      </x:c>
      <x:c r="I35" s="12">
        <x:f>IF(A35="","",Journal_Import!S35)</x:f>
      </x:c>
      <x:c r="J35" s="12">
        <x:f>IF(A35="","",Journal_Import!T35)</x:f>
      </x:c>
      <x:c r="K35" s="12">
        <x:f>IF(C35="","",IF(C35=C34,K34+I35-J35,IFERROR(INDEX(COA_Master!$N:$N,MATCH(C35,COA_Master!$A:$A,0)),0)+I35-J35))</x:f>
      </x:c>
      <x:c r="L35" s="19">
        <x:f>IF(A35="","",IF(IFERROR(INDEX(COA_Master!$G:$G,MATCH(C35,COA_Master!$A:$A,0)),"Debit")="Debit",IF(K35&gt;=0,"Debit","Credit"),IF(K35&gt;=0,"Credit","Debit")))</x:f>
      </x:c>
      <x:c r="M35" s="19">
        <x:f>IF(A35="","",Journal_Import!V35)</x:f>
      </x:c>
      <x:c r="N35" s="19">
        <x:f>IF(A35="","",Journal_Import!W35)</x:f>
      </x:c>
      <x:c r="O35" s="19">
        <x:f>IF(A35="","",Journal_Import!Z35)</x:f>
      </x:c>
    </x:row>
    <x:row r="36">
      <x:c r="A36" s="18">
        <x:f>IF(Journal_Import!A36="","",Journal_Import!A36)</x:f>
      </x:c>
      <x:c r="B36" s="18">
        <x:f>IF(A36="","",Journal_Import!B36)</x:f>
      </x:c>
      <x:c r="C36" s="18">
        <x:f>IF(A36="","",Journal_Import!I36)</x:f>
      </x:c>
      <x:c r="D36" s="18">
        <x:f>IF(A36="","",Journal_Import!J36)</x:f>
      </x:c>
      <x:c r="E36" s="19">
        <x:f>IF(A36="","",Journal_Import!D36)</x:f>
      </x:c>
      <x:c r="F36" s="19">
        <x:f>IF(A36="","",Journal_Import!F36)</x:f>
      </x:c>
      <x:c r="G36" s="19">
        <x:f>IF(A36="","",Journal_Import!G36)</x:f>
      </x:c>
      <x:c r="H36" s="19">
        <x:f>IF(A36="","",Journal_Import!H36)</x:f>
      </x:c>
      <x:c r="I36" s="12">
        <x:f>IF(A36="","",Journal_Import!S36)</x:f>
      </x:c>
      <x:c r="J36" s="12">
        <x:f>IF(A36="","",Journal_Import!T36)</x:f>
      </x:c>
      <x:c r="K36" s="12">
        <x:f>IF(C36="","",IF(C36=C35,K35+I36-J36,IFERROR(INDEX(COA_Master!$N:$N,MATCH(C36,COA_Master!$A:$A,0)),0)+I36-J36))</x:f>
      </x:c>
      <x:c r="L36" s="19">
        <x:f>IF(A36="","",IF(IFERROR(INDEX(COA_Master!$G:$G,MATCH(C36,COA_Master!$A:$A,0)),"Debit")="Debit",IF(K36&gt;=0,"Debit","Credit"),IF(K36&gt;=0,"Credit","Debit")))</x:f>
      </x:c>
      <x:c r="M36" s="19">
        <x:f>IF(A36="","",Journal_Import!V36)</x:f>
      </x:c>
      <x:c r="N36" s="19">
        <x:f>IF(A36="","",Journal_Import!W36)</x:f>
      </x:c>
      <x:c r="O36" s="19">
        <x:f>IF(A36="","",Journal_Import!Z36)</x:f>
      </x:c>
    </x:row>
    <x:row r="37">
      <x:c r="A37" s="18">
        <x:f>IF(Journal_Import!A37="","",Journal_Import!A37)</x:f>
      </x:c>
      <x:c r="B37" s="18">
        <x:f>IF(A37="","",Journal_Import!B37)</x:f>
      </x:c>
      <x:c r="C37" s="18">
        <x:f>IF(A37="","",Journal_Import!I37)</x:f>
      </x:c>
      <x:c r="D37" s="18">
        <x:f>IF(A37="","",Journal_Import!J37)</x:f>
      </x:c>
      <x:c r="E37" s="19">
        <x:f>IF(A37="","",Journal_Import!D37)</x:f>
      </x:c>
      <x:c r="F37" s="19">
        <x:f>IF(A37="","",Journal_Import!F37)</x:f>
      </x:c>
      <x:c r="G37" s="19">
        <x:f>IF(A37="","",Journal_Import!G37)</x:f>
      </x:c>
      <x:c r="H37" s="19">
        <x:f>IF(A37="","",Journal_Import!H37)</x:f>
      </x:c>
      <x:c r="I37" s="12">
        <x:f>IF(A37="","",Journal_Import!S37)</x:f>
      </x:c>
      <x:c r="J37" s="12">
        <x:f>IF(A37="","",Journal_Import!T37)</x:f>
      </x:c>
      <x:c r="K37" s="12">
        <x:f>IF(C37="","",IF(C37=C36,K36+I37-J37,IFERROR(INDEX(COA_Master!$N:$N,MATCH(C37,COA_Master!$A:$A,0)),0)+I37-J37))</x:f>
      </x:c>
      <x:c r="L37" s="19">
        <x:f>IF(A37="","",IF(IFERROR(INDEX(COA_Master!$G:$G,MATCH(C37,COA_Master!$A:$A,0)),"Debit")="Debit",IF(K37&gt;=0,"Debit","Credit"),IF(K37&gt;=0,"Credit","Debit")))</x:f>
      </x:c>
      <x:c r="M37" s="19">
        <x:f>IF(A37="","",Journal_Import!V37)</x:f>
      </x:c>
      <x:c r="N37" s="19">
        <x:f>IF(A37="","",Journal_Import!W37)</x:f>
      </x:c>
      <x:c r="O37" s="19">
        <x:f>IF(A37="","",Journal_Import!Z37)</x:f>
      </x:c>
    </x:row>
    <x:row r="38">
      <x:c r="A38" s="18">
        <x:f>IF(Journal_Import!A38="","",Journal_Import!A38)</x:f>
      </x:c>
      <x:c r="B38" s="18">
        <x:f>IF(A38="","",Journal_Import!B38)</x:f>
      </x:c>
      <x:c r="C38" s="18">
        <x:f>IF(A38="","",Journal_Import!I38)</x:f>
      </x:c>
      <x:c r="D38" s="18">
        <x:f>IF(A38="","",Journal_Import!J38)</x:f>
      </x:c>
      <x:c r="E38" s="19">
        <x:f>IF(A38="","",Journal_Import!D38)</x:f>
      </x:c>
      <x:c r="F38" s="19">
        <x:f>IF(A38="","",Journal_Import!F38)</x:f>
      </x:c>
      <x:c r="G38" s="19">
        <x:f>IF(A38="","",Journal_Import!G38)</x:f>
      </x:c>
      <x:c r="H38" s="19">
        <x:f>IF(A38="","",Journal_Import!H38)</x:f>
      </x:c>
      <x:c r="I38" s="12">
        <x:f>IF(A38="","",Journal_Import!S38)</x:f>
      </x:c>
      <x:c r="J38" s="12">
        <x:f>IF(A38="","",Journal_Import!T38)</x:f>
      </x:c>
      <x:c r="K38" s="12">
        <x:f>IF(C38="","",IF(C38=C37,K37+I38-J38,IFERROR(INDEX(COA_Master!$N:$N,MATCH(C38,COA_Master!$A:$A,0)),0)+I38-J38))</x:f>
      </x:c>
      <x:c r="L38" s="19">
        <x:f>IF(A38="","",IF(IFERROR(INDEX(COA_Master!$G:$G,MATCH(C38,COA_Master!$A:$A,0)),"Debit")="Debit",IF(K38&gt;=0,"Debit","Credit"),IF(K38&gt;=0,"Credit","Debit")))</x:f>
      </x:c>
      <x:c r="M38" s="19">
        <x:f>IF(A38="","",Journal_Import!V38)</x:f>
      </x:c>
      <x:c r="N38" s="19">
        <x:f>IF(A38="","",Journal_Import!W38)</x:f>
      </x:c>
      <x:c r="O38" s="19">
        <x:f>IF(A38="","",Journal_Import!Z38)</x:f>
      </x:c>
    </x:row>
    <x:row r="39">
      <x:c r="A39" s="18">
        <x:f>IF(Journal_Import!A39="","",Journal_Import!A39)</x:f>
      </x:c>
      <x:c r="B39" s="18">
        <x:f>IF(A39="","",Journal_Import!B39)</x:f>
      </x:c>
      <x:c r="C39" s="18">
        <x:f>IF(A39="","",Journal_Import!I39)</x:f>
      </x:c>
      <x:c r="D39" s="18">
        <x:f>IF(A39="","",Journal_Import!J39)</x:f>
      </x:c>
      <x:c r="E39" s="19">
        <x:f>IF(A39="","",Journal_Import!D39)</x:f>
      </x:c>
      <x:c r="F39" s="19">
        <x:f>IF(A39="","",Journal_Import!F39)</x:f>
      </x:c>
      <x:c r="G39" s="19">
        <x:f>IF(A39="","",Journal_Import!G39)</x:f>
      </x:c>
      <x:c r="H39" s="19">
        <x:f>IF(A39="","",Journal_Import!H39)</x:f>
      </x:c>
      <x:c r="I39" s="12">
        <x:f>IF(A39="","",Journal_Import!S39)</x:f>
      </x:c>
      <x:c r="J39" s="12">
        <x:f>IF(A39="","",Journal_Import!T39)</x:f>
      </x:c>
      <x:c r="K39" s="12">
        <x:f>IF(C39="","",IF(C39=C38,K38+I39-J39,IFERROR(INDEX(COA_Master!$N:$N,MATCH(C39,COA_Master!$A:$A,0)),0)+I39-J39))</x:f>
      </x:c>
      <x:c r="L39" s="19">
        <x:f>IF(A39="","",IF(IFERROR(INDEX(COA_Master!$G:$G,MATCH(C39,COA_Master!$A:$A,0)),"Debit")="Debit",IF(K39&gt;=0,"Debit","Credit"),IF(K39&gt;=0,"Credit","Debit")))</x:f>
      </x:c>
      <x:c r="M39" s="19">
        <x:f>IF(A39="","",Journal_Import!V39)</x:f>
      </x:c>
      <x:c r="N39" s="19">
        <x:f>IF(A39="","",Journal_Import!W39)</x:f>
      </x:c>
      <x:c r="O39" s="19">
        <x:f>IF(A39="","",Journal_Import!Z39)</x:f>
      </x:c>
    </x:row>
    <x:row r="40">
      <x:c r="A40" s="18">
        <x:f>IF(Journal_Import!A40="","",Journal_Import!A40)</x:f>
      </x:c>
      <x:c r="B40" s="18">
        <x:f>IF(A40="","",Journal_Import!B40)</x:f>
      </x:c>
      <x:c r="C40" s="18">
        <x:f>IF(A40="","",Journal_Import!I40)</x:f>
      </x:c>
      <x:c r="D40" s="18">
        <x:f>IF(A40="","",Journal_Import!J40)</x:f>
      </x:c>
      <x:c r="E40" s="19">
        <x:f>IF(A40="","",Journal_Import!D40)</x:f>
      </x:c>
      <x:c r="F40" s="19">
        <x:f>IF(A40="","",Journal_Import!F40)</x:f>
      </x:c>
      <x:c r="G40" s="19">
        <x:f>IF(A40="","",Journal_Import!G40)</x:f>
      </x:c>
      <x:c r="H40" s="19">
        <x:f>IF(A40="","",Journal_Import!H40)</x:f>
      </x:c>
      <x:c r="I40" s="12">
        <x:f>IF(A40="","",Journal_Import!S40)</x:f>
      </x:c>
      <x:c r="J40" s="12">
        <x:f>IF(A40="","",Journal_Import!T40)</x:f>
      </x:c>
      <x:c r="K40" s="12">
        <x:f>IF(C40="","",IF(C40=C39,K39+I40-J40,IFERROR(INDEX(COA_Master!$N:$N,MATCH(C40,COA_Master!$A:$A,0)),0)+I40-J40))</x:f>
      </x:c>
      <x:c r="L40" s="19">
        <x:f>IF(A40="","",IF(IFERROR(INDEX(COA_Master!$G:$G,MATCH(C40,COA_Master!$A:$A,0)),"Debit")="Debit",IF(K40&gt;=0,"Debit","Credit"),IF(K40&gt;=0,"Credit","Debit")))</x:f>
      </x:c>
      <x:c r="M40" s="19">
        <x:f>IF(A40="","",Journal_Import!V40)</x:f>
      </x:c>
      <x:c r="N40" s="19">
        <x:f>IF(A40="","",Journal_Import!W40)</x:f>
      </x:c>
      <x:c r="O40" s="19">
        <x:f>IF(A40="","",Journal_Import!Z40)</x:f>
      </x:c>
    </x:row>
    <x:row r="41">
      <x:c r="A41" s="18">
        <x:f>IF(Journal_Import!A41="","",Journal_Import!A41)</x:f>
      </x:c>
      <x:c r="B41" s="18">
        <x:f>IF(A41="","",Journal_Import!B41)</x:f>
      </x:c>
      <x:c r="C41" s="18">
        <x:f>IF(A41="","",Journal_Import!I41)</x:f>
      </x:c>
      <x:c r="D41" s="18">
        <x:f>IF(A41="","",Journal_Import!J41)</x:f>
      </x:c>
      <x:c r="E41" s="19">
        <x:f>IF(A41="","",Journal_Import!D41)</x:f>
      </x:c>
      <x:c r="F41" s="19">
        <x:f>IF(A41="","",Journal_Import!F41)</x:f>
      </x:c>
      <x:c r="G41" s="19">
        <x:f>IF(A41="","",Journal_Import!G41)</x:f>
      </x:c>
      <x:c r="H41" s="19">
        <x:f>IF(A41="","",Journal_Import!H41)</x:f>
      </x:c>
      <x:c r="I41" s="12">
        <x:f>IF(A41="","",Journal_Import!S41)</x:f>
      </x:c>
      <x:c r="J41" s="12">
        <x:f>IF(A41="","",Journal_Import!T41)</x:f>
      </x:c>
      <x:c r="K41" s="12">
        <x:f>IF(C41="","",IF(C41=C40,K40+I41-J41,IFERROR(INDEX(COA_Master!$N:$N,MATCH(C41,COA_Master!$A:$A,0)),0)+I41-J41))</x:f>
      </x:c>
      <x:c r="L41" s="19">
        <x:f>IF(A41="","",IF(IFERROR(INDEX(COA_Master!$G:$G,MATCH(C41,COA_Master!$A:$A,0)),"Debit")="Debit",IF(K41&gt;=0,"Debit","Credit"),IF(K41&gt;=0,"Credit","Debit")))</x:f>
      </x:c>
      <x:c r="M41" s="19">
        <x:f>IF(A41="","",Journal_Import!V41)</x:f>
      </x:c>
      <x:c r="N41" s="19">
        <x:f>IF(A41="","",Journal_Import!W41)</x:f>
      </x:c>
      <x:c r="O41" s="19">
        <x:f>IF(A41="","",Journal_Import!Z41)</x:f>
      </x:c>
    </x:row>
    <x:row r="42">
      <x:c r="A42" s="18">
        <x:f>IF(Journal_Import!A42="","",Journal_Import!A42)</x:f>
      </x:c>
      <x:c r="B42" s="18">
        <x:f>IF(A42="","",Journal_Import!B42)</x:f>
      </x:c>
      <x:c r="C42" s="18">
        <x:f>IF(A42="","",Journal_Import!I42)</x:f>
      </x:c>
      <x:c r="D42" s="18">
        <x:f>IF(A42="","",Journal_Import!J42)</x:f>
      </x:c>
      <x:c r="E42" s="19">
        <x:f>IF(A42="","",Journal_Import!D42)</x:f>
      </x:c>
      <x:c r="F42" s="19">
        <x:f>IF(A42="","",Journal_Import!F42)</x:f>
      </x:c>
      <x:c r="G42" s="19">
        <x:f>IF(A42="","",Journal_Import!G42)</x:f>
      </x:c>
      <x:c r="H42" s="19">
        <x:f>IF(A42="","",Journal_Import!H42)</x:f>
      </x:c>
      <x:c r="I42" s="12">
        <x:f>IF(A42="","",Journal_Import!S42)</x:f>
      </x:c>
      <x:c r="J42" s="12">
        <x:f>IF(A42="","",Journal_Import!T42)</x:f>
      </x:c>
      <x:c r="K42" s="12">
        <x:f>IF(C42="","",IF(C42=C41,K41+I42-J42,IFERROR(INDEX(COA_Master!$N:$N,MATCH(C42,COA_Master!$A:$A,0)),0)+I42-J42))</x:f>
      </x:c>
      <x:c r="L42" s="19">
        <x:f>IF(A42="","",IF(IFERROR(INDEX(COA_Master!$G:$G,MATCH(C42,COA_Master!$A:$A,0)),"Debit")="Debit",IF(K42&gt;=0,"Debit","Credit"),IF(K42&gt;=0,"Credit","Debit")))</x:f>
      </x:c>
      <x:c r="M42" s="19">
        <x:f>IF(A42="","",Journal_Import!V42)</x:f>
      </x:c>
      <x:c r="N42" s="19">
        <x:f>IF(A42="","",Journal_Import!W42)</x:f>
      </x:c>
      <x:c r="O42" s="19">
        <x:f>IF(A42="","",Journal_Import!Z42)</x:f>
      </x:c>
    </x:row>
    <x:row r="43">
      <x:c r="A43" s="18">
        <x:f>IF(Journal_Import!A43="","",Journal_Import!A43)</x:f>
      </x:c>
      <x:c r="B43" s="18">
        <x:f>IF(A43="","",Journal_Import!B43)</x:f>
      </x:c>
      <x:c r="C43" s="18">
        <x:f>IF(A43="","",Journal_Import!I43)</x:f>
      </x:c>
      <x:c r="D43" s="18">
        <x:f>IF(A43="","",Journal_Import!J43)</x:f>
      </x:c>
      <x:c r="E43" s="19">
        <x:f>IF(A43="","",Journal_Import!D43)</x:f>
      </x:c>
      <x:c r="F43" s="19">
        <x:f>IF(A43="","",Journal_Import!F43)</x:f>
      </x:c>
      <x:c r="G43" s="19">
        <x:f>IF(A43="","",Journal_Import!G43)</x:f>
      </x:c>
      <x:c r="H43" s="19">
        <x:f>IF(A43="","",Journal_Import!H43)</x:f>
      </x:c>
      <x:c r="I43" s="12">
        <x:f>IF(A43="","",Journal_Import!S43)</x:f>
      </x:c>
      <x:c r="J43" s="12">
        <x:f>IF(A43="","",Journal_Import!T43)</x:f>
      </x:c>
      <x:c r="K43" s="12">
        <x:f>IF(C43="","",IF(C43=C42,K42+I43-J43,IFERROR(INDEX(COA_Master!$N:$N,MATCH(C43,COA_Master!$A:$A,0)),0)+I43-J43))</x:f>
      </x:c>
      <x:c r="L43" s="19">
        <x:f>IF(A43="","",IF(IFERROR(INDEX(COA_Master!$G:$G,MATCH(C43,COA_Master!$A:$A,0)),"Debit")="Debit",IF(K43&gt;=0,"Debit","Credit"),IF(K43&gt;=0,"Credit","Debit")))</x:f>
      </x:c>
      <x:c r="M43" s="19">
        <x:f>IF(A43="","",Journal_Import!V43)</x:f>
      </x:c>
      <x:c r="N43" s="19">
        <x:f>IF(A43="","",Journal_Import!W43)</x:f>
      </x:c>
      <x:c r="O43" s="19">
        <x:f>IF(A43="","",Journal_Import!Z43)</x:f>
      </x:c>
    </x:row>
    <x:row r="44">
      <x:c r="A44" s="18">
        <x:f>IF(Journal_Import!A44="","",Journal_Import!A44)</x:f>
      </x:c>
      <x:c r="B44" s="18">
        <x:f>IF(A44="","",Journal_Import!B44)</x:f>
      </x:c>
      <x:c r="C44" s="18">
        <x:f>IF(A44="","",Journal_Import!I44)</x:f>
      </x:c>
      <x:c r="D44" s="18">
        <x:f>IF(A44="","",Journal_Import!J44)</x:f>
      </x:c>
      <x:c r="E44" s="19">
        <x:f>IF(A44="","",Journal_Import!D44)</x:f>
      </x:c>
      <x:c r="F44" s="19">
        <x:f>IF(A44="","",Journal_Import!F44)</x:f>
      </x:c>
      <x:c r="G44" s="19">
        <x:f>IF(A44="","",Journal_Import!G44)</x:f>
      </x:c>
      <x:c r="H44" s="19">
        <x:f>IF(A44="","",Journal_Import!H44)</x:f>
      </x:c>
      <x:c r="I44" s="12">
        <x:f>IF(A44="","",Journal_Import!S44)</x:f>
      </x:c>
      <x:c r="J44" s="12">
        <x:f>IF(A44="","",Journal_Import!T44)</x:f>
      </x:c>
      <x:c r="K44" s="12">
        <x:f>IF(C44="","",IF(C44=C43,K43+I44-J44,IFERROR(INDEX(COA_Master!$N:$N,MATCH(C44,COA_Master!$A:$A,0)),0)+I44-J44))</x:f>
      </x:c>
      <x:c r="L44" s="19">
        <x:f>IF(A44="","",IF(IFERROR(INDEX(COA_Master!$G:$G,MATCH(C44,COA_Master!$A:$A,0)),"Debit")="Debit",IF(K44&gt;=0,"Debit","Credit"),IF(K44&gt;=0,"Credit","Debit")))</x:f>
      </x:c>
      <x:c r="M44" s="19">
        <x:f>IF(A44="","",Journal_Import!V44)</x:f>
      </x:c>
      <x:c r="N44" s="19">
        <x:f>IF(A44="","",Journal_Import!W44)</x:f>
      </x:c>
      <x:c r="O44" s="19">
        <x:f>IF(A44="","",Journal_Import!Z44)</x:f>
      </x:c>
    </x:row>
    <x:row r="45">
      <x:c r="A45" s="18">
        <x:f>IF(Journal_Import!A45="","",Journal_Import!A45)</x:f>
      </x:c>
      <x:c r="B45" s="18">
        <x:f>IF(A45="","",Journal_Import!B45)</x:f>
      </x:c>
      <x:c r="C45" s="18">
        <x:f>IF(A45="","",Journal_Import!I45)</x:f>
      </x:c>
      <x:c r="D45" s="18">
        <x:f>IF(A45="","",Journal_Import!J45)</x:f>
      </x:c>
      <x:c r="E45" s="19">
        <x:f>IF(A45="","",Journal_Import!D45)</x:f>
      </x:c>
      <x:c r="F45" s="19">
        <x:f>IF(A45="","",Journal_Import!F45)</x:f>
      </x:c>
      <x:c r="G45" s="19">
        <x:f>IF(A45="","",Journal_Import!G45)</x:f>
      </x:c>
      <x:c r="H45" s="19">
        <x:f>IF(A45="","",Journal_Import!H45)</x:f>
      </x:c>
      <x:c r="I45" s="12">
        <x:f>IF(A45="","",Journal_Import!S45)</x:f>
      </x:c>
      <x:c r="J45" s="12">
        <x:f>IF(A45="","",Journal_Import!T45)</x:f>
      </x:c>
      <x:c r="K45" s="12">
        <x:f>IF(C45="","",IF(C45=C44,K44+I45-J45,IFERROR(INDEX(COA_Master!$N:$N,MATCH(C45,COA_Master!$A:$A,0)),0)+I45-J45))</x:f>
      </x:c>
      <x:c r="L45" s="19">
        <x:f>IF(A45="","",IF(IFERROR(INDEX(COA_Master!$G:$G,MATCH(C45,COA_Master!$A:$A,0)),"Debit")="Debit",IF(K45&gt;=0,"Debit","Credit"),IF(K45&gt;=0,"Credit","Debit")))</x:f>
      </x:c>
      <x:c r="M45" s="19">
        <x:f>IF(A45="","",Journal_Import!V45)</x:f>
      </x:c>
      <x:c r="N45" s="19">
        <x:f>IF(A45="","",Journal_Import!W45)</x:f>
      </x:c>
      <x:c r="O45" s="19">
        <x:f>IF(A45="","",Journal_Import!Z45)</x:f>
      </x:c>
    </x:row>
    <x:row r="46">
      <x:c r="A46" s="18">
        <x:f>IF(Journal_Import!A46="","",Journal_Import!A46)</x:f>
      </x:c>
      <x:c r="B46" s="18">
        <x:f>IF(A46="","",Journal_Import!B46)</x:f>
      </x:c>
      <x:c r="C46" s="18">
        <x:f>IF(A46="","",Journal_Import!I46)</x:f>
      </x:c>
      <x:c r="D46" s="18">
        <x:f>IF(A46="","",Journal_Import!J46)</x:f>
      </x:c>
      <x:c r="E46" s="19">
        <x:f>IF(A46="","",Journal_Import!D46)</x:f>
      </x:c>
      <x:c r="F46" s="19">
        <x:f>IF(A46="","",Journal_Import!F46)</x:f>
      </x:c>
      <x:c r="G46" s="19">
        <x:f>IF(A46="","",Journal_Import!G46)</x:f>
      </x:c>
      <x:c r="H46" s="19">
        <x:f>IF(A46="","",Journal_Import!H46)</x:f>
      </x:c>
      <x:c r="I46" s="12">
        <x:f>IF(A46="","",Journal_Import!S46)</x:f>
      </x:c>
      <x:c r="J46" s="12">
        <x:f>IF(A46="","",Journal_Import!T46)</x:f>
      </x:c>
      <x:c r="K46" s="12">
        <x:f>IF(C46="","",IF(C46=C45,K45+I46-J46,IFERROR(INDEX(COA_Master!$N:$N,MATCH(C46,COA_Master!$A:$A,0)),0)+I46-J46))</x:f>
      </x:c>
      <x:c r="L46" s="19">
        <x:f>IF(A46="","",IF(IFERROR(INDEX(COA_Master!$G:$G,MATCH(C46,COA_Master!$A:$A,0)),"Debit")="Debit",IF(K46&gt;=0,"Debit","Credit"),IF(K46&gt;=0,"Credit","Debit")))</x:f>
      </x:c>
      <x:c r="M46" s="19">
        <x:f>IF(A46="","",Journal_Import!V46)</x:f>
      </x:c>
      <x:c r="N46" s="19">
        <x:f>IF(A46="","",Journal_Import!W46)</x:f>
      </x:c>
      <x:c r="O46" s="19">
        <x:f>IF(A46="","",Journal_Import!Z46)</x:f>
      </x:c>
    </x:row>
    <x:row r="47">
      <x:c r="A47" s="18">
        <x:f>IF(Journal_Import!A47="","",Journal_Import!A47)</x:f>
      </x:c>
      <x:c r="B47" s="18">
        <x:f>IF(A47="","",Journal_Import!B47)</x:f>
      </x:c>
      <x:c r="C47" s="18">
        <x:f>IF(A47="","",Journal_Import!I47)</x:f>
      </x:c>
      <x:c r="D47" s="18">
        <x:f>IF(A47="","",Journal_Import!J47)</x:f>
      </x:c>
      <x:c r="E47" s="19">
        <x:f>IF(A47="","",Journal_Import!D47)</x:f>
      </x:c>
      <x:c r="F47" s="19">
        <x:f>IF(A47="","",Journal_Import!F47)</x:f>
      </x:c>
      <x:c r="G47" s="19">
        <x:f>IF(A47="","",Journal_Import!G47)</x:f>
      </x:c>
      <x:c r="H47" s="19">
        <x:f>IF(A47="","",Journal_Import!H47)</x:f>
      </x:c>
      <x:c r="I47" s="12">
        <x:f>IF(A47="","",Journal_Import!S47)</x:f>
      </x:c>
      <x:c r="J47" s="12">
        <x:f>IF(A47="","",Journal_Import!T47)</x:f>
      </x:c>
      <x:c r="K47" s="12">
        <x:f>IF(C47="","",IF(C47=C46,K46+I47-J47,IFERROR(INDEX(COA_Master!$N:$N,MATCH(C47,COA_Master!$A:$A,0)),0)+I47-J47))</x:f>
      </x:c>
      <x:c r="L47" s="19">
        <x:f>IF(A47="","",IF(IFERROR(INDEX(COA_Master!$G:$G,MATCH(C47,COA_Master!$A:$A,0)),"Debit")="Debit",IF(K47&gt;=0,"Debit","Credit"),IF(K47&gt;=0,"Credit","Debit")))</x:f>
      </x:c>
      <x:c r="M47" s="19">
        <x:f>IF(A47="","",Journal_Import!V47)</x:f>
      </x:c>
      <x:c r="N47" s="19">
        <x:f>IF(A47="","",Journal_Import!W47)</x:f>
      </x:c>
      <x:c r="O47" s="19">
        <x:f>IF(A47="","",Journal_Import!Z47)</x:f>
      </x:c>
    </x:row>
    <x:row r="48">
      <x:c r="A48" s="18">
        <x:f>IF(Journal_Import!A48="","",Journal_Import!A48)</x:f>
      </x:c>
      <x:c r="B48" s="18">
        <x:f>IF(A48="","",Journal_Import!B48)</x:f>
      </x:c>
      <x:c r="C48" s="18">
        <x:f>IF(A48="","",Journal_Import!I48)</x:f>
      </x:c>
      <x:c r="D48" s="18">
        <x:f>IF(A48="","",Journal_Import!J48)</x:f>
      </x:c>
      <x:c r="E48" s="19">
        <x:f>IF(A48="","",Journal_Import!D48)</x:f>
      </x:c>
      <x:c r="F48" s="19">
        <x:f>IF(A48="","",Journal_Import!F48)</x:f>
      </x:c>
      <x:c r="G48" s="19">
        <x:f>IF(A48="","",Journal_Import!G48)</x:f>
      </x:c>
      <x:c r="H48" s="19">
        <x:f>IF(A48="","",Journal_Import!H48)</x:f>
      </x:c>
      <x:c r="I48" s="12">
        <x:f>IF(A48="","",Journal_Import!S48)</x:f>
      </x:c>
      <x:c r="J48" s="12">
        <x:f>IF(A48="","",Journal_Import!T48)</x:f>
      </x:c>
      <x:c r="K48" s="12">
        <x:f>IF(C48="","",IF(C48=C47,K47+I48-J48,IFERROR(INDEX(COA_Master!$N:$N,MATCH(C48,COA_Master!$A:$A,0)),0)+I48-J48))</x:f>
      </x:c>
      <x:c r="L48" s="19">
        <x:f>IF(A48="","",IF(IFERROR(INDEX(COA_Master!$G:$G,MATCH(C48,COA_Master!$A:$A,0)),"Debit")="Debit",IF(K48&gt;=0,"Debit","Credit"),IF(K48&gt;=0,"Credit","Debit")))</x:f>
      </x:c>
      <x:c r="M48" s="19">
        <x:f>IF(A48="","",Journal_Import!V48)</x:f>
      </x:c>
      <x:c r="N48" s="19">
        <x:f>IF(A48="","",Journal_Import!W48)</x:f>
      </x:c>
      <x:c r="O48" s="19">
        <x:f>IF(A48="","",Journal_Import!Z48)</x:f>
      </x:c>
    </x:row>
    <x:row r="49">
      <x:c r="A49" s="18">
        <x:f>IF(Journal_Import!A49="","",Journal_Import!A49)</x:f>
      </x:c>
      <x:c r="B49" s="18">
        <x:f>IF(A49="","",Journal_Import!B49)</x:f>
      </x:c>
      <x:c r="C49" s="18">
        <x:f>IF(A49="","",Journal_Import!I49)</x:f>
      </x:c>
      <x:c r="D49" s="18">
        <x:f>IF(A49="","",Journal_Import!J49)</x:f>
      </x:c>
      <x:c r="E49" s="19">
        <x:f>IF(A49="","",Journal_Import!D49)</x:f>
      </x:c>
      <x:c r="F49" s="19">
        <x:f>IF(A49="","",Journal_Import!F49)</x:f>
      </x:c>
      <x:c r="G49" s="19">
        <x:f>IF(A49="","",Journal_Import!G49)</x:f>
      </x:c>
      <x:c r="H49" s="19">
        <x:f>IF(A49="","",Journal_Import!H49)</x:f>
      </x:c>
      <x:c r="I49" s="12">
        <x:f>IF(A49="","",Journal_Import!S49)</x:f>
      </x:c>
      <x:c r="J49" s="12">
        <x:f>IF(A49="","",Journal_Import!T49)</x:f>
      </x:c>
      <x:c r="K49" s="12">
        <x:f>IF(C49="","",IF(C49=C48,K48+I49-J49,IFERROR(INDEX(COA_Master!$N:$N,MATCH(C49,COA_Master!$A:$A,0)),0)+I49-J49))</x:f>
      </x:c>
      <x:c r="L49" s="19">
        <x:f>IF(A49="","",IF(IFERROR(INDEX(COA_Master!$G:$G,MATCH(C49,COA_Master!$A:$A,0)),"Debit")="Debit",IF(K49&gt;=0,"Debit","Credit"),IF(K49&gt;=0,"Credit","Debit")))</x:f>
      </x:c>
      <x:c r="M49" s="19">
        <x:f>IF(A49="","",Journal_Import!V49)</x:f>
      </x:c>
      <x:c r="N49" s="19">
        <x:f>IF(A49="","",Journal_Import!W49)</x:f>
      </x:c>
      <x:c r="O49" s="19">
        <x:f>IF(A49="","",Journal_Import!Z49)</x:f>
      </x:c>
    </x:row>
    <x:row r="50">
      <x:c r="A50" s="18">
        <x:f>IF(Journal_Import!A50="","",Journal_Import!A50)</x:f>
      </x:c>
      <x:c r="B50" s="18">
        <x:f>IF(A50="","",Journal_Import!B50)</x:f>
      </x:c>
      <x:c r="C50" s="18">
        <x:f>IF(A50="","",Journal_Import!I50)</x:f>
      </x:c>
      <x:c r="D50" s="18">
        <x:f>IF(A50="","",Journal_Import!J50)</x:f>
      </x:c>
      <x:c r="E50" s="19">
        <x:f>IF(A50="","",Journal_Import!D50)</x:f>
      </x:c>
      <x:c r="F50" s="19">
        <x:f>IF(A50="","",Journal_Import!F50)</x:f>
      </x:c>
      <x:c r="G50" s="19">
        <x:f>IF(A50="","",Journal_Import!G50)</x:f>
      </x:c>
      <x:c r="H50" s="19">
        <x:f>IF(A50="","",Journal_Import!H50)</x:f>
      </x:c>
      <x:c r="I50" s="12">
        <x:f>IF(A50="","",Journal_Import!S50)</x:f>
      </x:c>
      <x:c r="J50" s="12">
        <x:f>IF(A50="","",Journal_Import!T50)</x:f>
      </x:c>
      <x:c r="K50" s="12">
        <x:f>IF(C50="","",IF(C50=C49,K49+I50-J50,IFERROR(INDEX(COA_Master!$N:$N,MATCH(C50,COA_Master!$A:$A,0)),0)+I50-J50))</x:f>
      </x:c>
      <x:c r="L50" s="19">
        <x:f>IF(A50="","",IF(IFERROR(INDEX(COA_Master!$G:$G,MATCH(C50,COA_Master!$A:$A,0)),"Debit")="Debit",IF(K50&gt;=0,"Debit","Credit"),IF(K50&gt;=0,"Credit","Debit")))</x:f>
      </x:c>
      <x:c r="M50" s="19">
        <x:f>IF(A50="","",Journal_Import!V50)</x:f>
      </x:c>
      <x:c r="N50" s="19">
        <x:f>IF(A50="","",Journal_Import!W50)</x:f>
      </x:c>
      <x:c r="O50" s="19">
        <x:f>IF(A50="","",Journal_Import!Z50)</x:f>
      </x:c>
    </x:row>
    <x:row r="51">
      <x:c r="A51" s="18">
        <x:f>IF(Journal_Import!A51="","",Journal_Import!A51)</x:f>
      </x:c>
      <x:c r="B51" s="18">
        <x:f>IF(A51="","",Journal_Import!B51)</x:f>
      </x:c>
      <x:c r="C51" s="18">
        <x:f>IF(A51="","",Journal_Import!I51)</x:f>
      </x:c>
      <x:c r="D51" s="18">
        <x:f>IF(A51="","",Journal_Import!J51)</x:f>
      </x:c>
      <x:c r="E51" s="19">
        <x:f>IF(A51="","",Journal_Import!D51)</x:f>
      </x:c>
      <x:c r="F51" s="19">
        <x:f>IF(A51="","",Journal_Import!F51)</x:f>
      </x:c>
      <x:c r="G51" s="19">
        <x:f>IF(A51="","",Journal_Import!G51)</x:f>
      </x:c>
      <x:c r="H51" s="19">
        <x:f>IF(A51="","",Journal_Import!H51)</x:f>
      </x:c>
      <x:c r="I51" s="12">
        <x:f>IF(A51="","",Journal_Import!S51)</x:f>
      </x:c>
      <x:c r="J51" s="12">
        <x:f>IF(A51="","",Journal_Import!T51)</x:f>
      </x:c>
      <x:c r="K51" s="12">
        <x:f>IF(C51="","",IF(C51=C50,K50+I51-J51,IFERROR(INDEX(COA_Master!$N:$N,MATCH(C51,COA_Master!$A:$A,0)),0)+I51-J51))</x:f>
      </x:c>
      <x:c r="L51" s="19">
        <x:f>IF(A51="","",IF(IFERROR(INDEX(COA_Master!$G:$G,MATCH(C51,COA_Master!$A:$A,0)),"Debit")="Debit",IF(K51&gt;=0,"Debit","Credit"),IF(K51&gt;=0,"Credit","Debit")))</x:f>
      </x:c>
      <x:c r="M51" s="19">
        <x:f>IF(A51="","",Journal_Import!V51)</x:f>
      </x:c>
      <x:c r="N51" s="19">
        <x:f>IF(A51="","",Journal_Import!W51)</x:f>
      </x:c>
      <x:c r="O51" s="19">
        <x:f>IF(A51="","",Journal_Import!Z51)</x:f>
      </x:c>
    </x:row>
    <x:row r="52">
      <x:c r="A52" s="18">
        <x:f>IF(Journal_Import!A52="","",Journal_Import!A52)</x:f>
      </x:c>
      <x:c r="B52" s="18">
        <x:f>IF(A52="","",Journal_Import!B52)</x:f>
      </x:c>
      <x:c r="C52" s="18">
        <x:f>IF(A52="","",Journal_Import!I52)</x:f>
      </x:c>
      <x:c r="D52" s="18">
        <x:f>IF(A52="","",Journal_Import!J52)</x:f>
      </x:c>
      <x:c r="E52" s="19">
        <x:f>IF(A52="","",Journal_Import!D52)</x:f>
      </x:c>
      <x:c r="F52" s="19">
        <x:f>IF(A52="","",Journal_Import!F52)</x:f>
      </x:c>
      <x:c r="G52" s="19">
        <x:f>IF(A52="","",Journal_Import!G52)</x:f>
      </x:c>
      <x:c r="H52" s="19">
        <x:f>IF(A52="","",Journal_Import!H52)</x:f>
      </x:c>
      <x:c r="I52" s="12">
        <x:f>IF(A52="","",Journal_Import!S52)</x:f>
      </x:c>
      <x:c r="J52" s="12">
        <x:f>IF(A52="","",Journal_Import!T52)</x:f>
      </x:c>
      <x:c r="K52" s="12">
        <x:f>IF(C52="","",IF(C52=C51,K51+I52-J52,IFERROR(INDEX(COA_Master!$N:$N,MATCH(C52,COA_Master!$A:$A,0)),0)+I52-J52))</x:f>
      </x:c>
      <x:c r="L52" s="19">
        <x:f>IF(A52="","",IF(IFERROR(INDEX(COA_Master!$G:$G,MATCH(C52,COA_Master!$A:$A,0)),"Debit")="Debit",IF(K52&gt;=0,"Debit","Credit"),IF(K52&gt;=0,"Credit","Debit")))</x:f>
      </x:c>
      <x:c r="M52" s="19">
        <x:f>IF(A52="","",Journal_Import!V52)</x:f>
      </x:c>
      <x:c r="N52" s="19">
        <x:f>IF(A52="","",Journal_Import!W52)</x:f>
      </x:c>
      <x:c r="O52" s="19">
        <x:f>IF(A52="","",Journal_Import!Z52)</x:f>
      </x:c>
    </x:row>
    <x:row r="53">
      <x:c r="A53" s="18">
        <x:f>IF(Journal_Import!A53="","",Journal_Import!A53)</x:f>
      </x:c>
      <x:c r="B53" s="18">
        <x:f>IF(A53="","",Journal_Import!B53)</x:f>
      </x:c>
      <x:c r="C53" s="18">
        <x:f>IF(A53="","",Journal_Import!I53)</x:f>
      </x:c>
      <x:c r="D53" s="18">
        <x:f>IF(A53="","",Journal_Import!J53)</x:f>
      </x:c>
      <x:c r="E53" s="19">
        <x:f>IF(A53="","",Journal_Import!D53)</x:f>
      </x:c>
      <x:c r="F53" s="19">
        <x:f>IF(A53="","",Journal_Import!F53)</x:f>
      </x:c>
      <x:c r="G53" s="19">
        <x:f>IF(A53="","",Journal_Import!G53)</x:f>
      </x:c>
      <x:c r="H53" s="19">
        <x:f>IF(A53="","",Journal_Import!H53)</x:f>
      </x:c>
      <x:c r="I53" s="12">
        <x:f>IF(A53="","",Journal_Import!S53)</x:f>
      </x:c>
      <x:c r="J53" s="12">
        <x:f>IF(A53="","",Journal_Import!T53)</x:f>
      </x:c>
      <x:c r="K53" s="12">
        <x:f>IF(C53="","",IF(C53=C52,K52+I53-J53,IFERROR(INDEX(COA_Master!$N:$N,MATCH(C53,COA_Master!$A:$A,0)),0)+I53-J53))</x:f>
      </x:c>
      <x:c r="L53" s="19">
        <x:f>IF(A53="","",IF(IFERROR(INDEX(COA_Master!$G:$G,MATCH(C53,COA_Master!$A:$A,0)),"Debit")="Debit",IF(K53&gt;=0,"Debit","Credit"),IF(K53&gt;=0,"Credit","Debit")))</x:f>
      </x:c>
      <x:c r="M53" s="19">
        <x:f>IF(A53="","",Journal_Import!V53)</x:f>
      </x:c>
      <x:c r="N53" s="19">
        <x:f>IF(A53="","",Journal_Import!W53)</x:f>
      </x:c>
      <x:c r="O53" s="19">
        <x:f>IF(A53="","",Journal_Import!Z53)</x:f>
      </x:c>
    </x:row>
    <x:row r="54">
      <x:c r="A54" s="18">
        <x:f>IF(Journal_Import!A54="","",Journal_Import!A54)</x:f>
      </x:c>
      <x:c r="B54" s="18">
        <x:f>IF(A54="","",Journal_Import!B54)</x:f>
      </x:c>
      <x:c r="C54" s="18">
        <x:f>IF(A54="","",Journal_Import!I54)</x:f>
      </x:c>
      <x:c r="D54" s="18">
        <x:f>IF(A54="","",Journal_Import!J54)</x:f>
      </x:c>
      <x:c r="E54" s="19">
        <x:f>IF(A54="","",Journal_Import!D54)</x:f>
      </x:c>
      <x:c r="F54" s="19">
        <x:f>IF(A54="","",Journal_Import!F54)</x:f>
      </x:c>
      <x:c r="G54" s="19">
        <x:f>IF(A54="","",Journal_Import!G54)</x:f>
      </x:c>
      <x:c r="H54" s="19">
        <x:f>IF(A54="","",Journal_Import!H54)</x:f>
      </x:c>
      <x:c r="I54" s="12">
        <x:f>IF(A54="","",Journal_Import!S54)</x:f>
      </x:c>
      <x:c r="J54" s="12">
        <x:f>IF(A54="","",Journal_Import!T54)</x:f>
      </x:c>
      <x:c r="K54" s="12">
        <x:f>IF(C54="","",IF(C54=C53,K53+I54-J54,IFERROR(INDEX(COA_Master!$N:$N,MATCH(C54,COA_Master!$A:$A,0)),0)+I54-J54))</x:f>
      </x:c>
      <x:c r="L54" s="19">
        <x:f>IF(A54="","",IF(IFERROR(INDEX(COA_Master!$G:$G,MATCH(C54,COA_Master!$A:$A,0)),"Debit")="Debit",IF(K54&gt;=0,"Debit","Credit"),IF(K54&gt;=0,"Credit","Debit")))</x:f>
      </x:c>
      <x:c r="M54" s="19">
        <x:f>IF(A54="","",Journal_Import!V54)</x:f>
      </x:c>
      <x:c r="N54" s="19">
        <x:f>IF(A54="","",Journal_Import!W54)</x:f>
      </x:c>
      <x:c r="O54" s="19">
        <x:f>IF(A54="","",Journal_Import!Z54)</x:f>
      </x:c>
    </x:row>
    <x:row r="55">
      <x:c r="A55" s="18">
        <x:f>IF(Journal_Import!A55="","",Journal_Import!A55)</x:f>
      </x:c>
      <x:c r="B55" s="18">
        <x:f>IF(A55="","",Journal_Import!B55)</x:f>
      </x:c>
      <x:c r="C55" s="18">
        <x:f>IF(A55="","",Journal_Import!I55)</x:f>
      </x:c>
      <x:c r="D55" s="18">
        <x:f>IF(A55="","",Journal_Import!J55)</x:f>
      </x:c>
      <x:c r="E55" s="19">
        <x:f>IF(A55="","",Journal_Import!D55)</x:f>
      </x:c>
      <x:c r="F55" s="19">
        <x:f>IF(A55="","",Journal_Import!F55)</x:f>
      </x:c>
      <x:c r="G55" s="19">
        <x:f>IF(A55="","",Journal_Import!G55)</x:f>
      </x:c>
      <x:c r="H55" s="19">
        <x:f>IF(A55="","",Journal_Import!H55)</x:f>
      </x:c>
      <x:c r="I55" s="12">
        <x:f>IF(A55="","",Journal_Import!S55)</x:f>
      </x:c>
      <x:c r="J55" s="12">
        <x:f>IF(A55="","",Journal_Import!T55)</x:f>
      </x:c>
      <x:c r="K55" s="12">
        <x:f>IF(C55="","",IF(C55=C54,K54+I55-J55,IFERROR(INDEX(COA_Master!$N:$N,MATCH(C55,COA_Master!$A:$A,0)),0)+I55-J55))</x:f>
      </x:c>
      <x:c r="L55" s="19">
        <x:f>IF(A55="","",IF(IFERROR(INDEX(COA_Master!$G:$G,MATCH(C55,COA_Master!$A:$A,0)),"Debit")="Debit",IF(K55&gt;=0,"Debit","Credit"),IF(K55&gt;=0,"Credit","Debit")))</x:f>
      </x:c>
      <x:c r="M55" s="19">
        <x:f>IF(A55="","",Journal_Import!V55)</x:f>
      </x:c>
      <x:c r="N55" s="19">
        <x:f>IF(A55="","",Journal_Import!W55)</x:f>
      </x:c>
      <x:c r="O55" s="19">
        <x:f>IF(A55="","",Journal_Import!Z55)</x:f>
      </x:c>
    </x:row>
    <x:row r="56">
      <x:c r="A56" s="18">
        <x:f>IF(Journal_Import!A56="","",Journal_Import!A56)</x:f>
      </x:c>
      <x:c r="B56" s="18">
        <x:f>IF(A56="","",Journal_Import!B56)</x:f>
      </x:c>
      <x:c r="C56" s="18">
        <x:f>IF(A56="","",Journal_Import!I56)</x:f>
      </x:c>
      <x:c r="D56" s="18">
        <x:f>IF(A56="","",Journal_Import!J56)</x:f>
      </x:c>
      <x:c r="E56" s="19">
        <x:f>IF(A56="","",Journal_Import!D56)</x:f>
      </x:c>
      <x:c r="F56" s="19">
        <x:f>IF(A56="","",Journal_Import!F56)</x:f>
      </x:c>
      <x:c r="G56" s="19">
        <x:f>IF(A56="","",Journal_Import!G56)</x:f>
      </x:c>
      <x:c r="H56" s="19">
        <x:f>IF(A56="","",Journal_Import!H56)</x:f>
      </x:c>
      <x:c r="I56" s="12">
        <x:f>IF(A56="","",Journal_Import!S56)</x:f>
      </x:c>
      <x:c r="J56" s="12">
        <x:f>IF(A56="","",Journal_Import!T56)</x:f>
      </x:c>
      <x:c r="K56" s="12">
        <x:f>IF(C56="","",IF(C56=C55,K55+I56-J56,IFERROR(INDEX(COA_Master!$N:$N,MATCH(C56,COA_Master!$A:$A,0)),0)+I56-J56))</x:f>
      </x:c>
      <x:c r="L56" s="19">
        <x:f>IF(A56="","",IF(IFERROR(INDEX(COA_Master!$G:$G,MATCH(C56,COA_Master!$A:$A,0)),"Debit")="Debit",IF(K56&gt;=0,"Debit","Credit"),IF(K56&gt;=0,"Credit","Debit")))</x:f>
      </x:c>
      <x:c r="M56" s="19">
        <x:f>IF(A56="","",Journal_Import!V56)</x:f>
      </x:c>
      <x:c r="N56" s="19">
        <x:f>IF(A56="","",Journal_Import!W56)</x:f>
      </x:c>
      <x:c r="O56" s="19">
        <x:f>IF(A56="","",Journal_Import!Z56)</x:f>
      </x:c>
    </x:row>
    <x:row r="57">
      <x:c r="A57" s="18">
        <x:f>IF(Journal_Import!A57="","",Journal_Import!A57)</x:f>
      </x:c>
      <x:c r="B57" s="18">
        <x:f>IF(A57="","",Journal_Import!B57)</x:f>
      </x:c>
      <x:c r="C57" s="18">
        <x:f>IF(A57="","",Journal_Import!I57)</x:f>
      </x:c>
      <x:c r="D57" s="18">
        <x:f>IF(A57="","",Journal_Import!J57)</x:f>
      </x:c>
      <x:c r="E57" s="19">
        <x:f>IF(A57="","",Journal_Import!D57)</x:f>
      </x:c>
      <x:c r="F57" s="19">
        <x:f>IF(A57="","",Journal_Import!F57)</x:f>
      </x:c>
      <x:c r="G57" s="19">
        <x:f>IF(A57="","",Journal_Import!G57)</x:f>
      </x:c>
      <x:c r="H57" s="19">
        <x:f>IF(A57="","",Journal_Import!H57)</x:f>
      </x:c>
      <x:c r="I57" s="12">
        <x:f>IF(A57="","",Journal_Import!S57)</x:f>
      </x:c>
      <x:c r="J57" s="12">
        <x:f>IF(A57="","",Journal_Import!T57)</x:f>
      </x:c>
      <x:c r="K57" s="12">
        <x:f>IF(C57="","",IF(C57=C56,K56+I57-J57,IFERROR(INDEX(COA_Master!$N:$N,MATCH(C57,COA_Master!$A:$A,0)),0)+I57-J57))</x:f>
      </x:c>
      <x:c r="L57" s="19">
        <x:f>IF(A57="","",IF(IFERROR(INDEX(COA_Master!$G:$G,MATCH(C57,COA_Master!$A:$A,0)),"Debit")="Debit",IF(K57&gt;=0,"Debit","Credit"),IF(K57&gt;=0,"Credit","Debit")))</x:f>
      </x:c>
      <x:c r="M57" s="19">
        <x:f>IF(A57="","",Journal_Import!V57)</x:f>
      </x:c>
      <x:c r="N57" s="19">
        <x:f>IF(A57="","",Journal_Import!W57)</x:f>
      </x:c>
      <x:c r="O57" s="19">
        <x:f>IF(A57="","",Journal_Import!Z57)</x:f>
      </x:c>
    </x:row>
    <x:row r="58">
      <x:c r="A58" s="18">
        <x:f>IF(Journal_Import!A58="","",Journal_Import!A58)</x:f>
      </x:c>
      <x:c r="B58" s="18">
        <x:f>IF(A58="","",Journal_Import!B58)</x:f>
      </x:c>
      <x:c r="C58" s="18">
        <x:f>IF(A58="","",Journal_Import!I58)</x:f>
      </x:c>
      <x:c r="D58" s="18">
        <x:f>IF(A58="","",Journal_Import!J58)</x:f>
      </x:c>
      <x:c r="E58" s="19">
        <x:f>IF(A58="","",Journal_Import!D58)</x:f>
      </x:c>
      <x:c r="F58" s="19">
        <x:f>IF(A58="","",Journal_Import!F58)</x:f>
      </x:c>
      <x:c r="G58" s="19">
        <x:f>IF(A58="","",Journal_Import!G58)</x:f>
      </x:c>
      <x:c r="H58" s="19">
        <x:f>IF(A58="","",Journal_Import!H58)</x:f>
      </x:c>
      <x:c r="I58" s="12">
        <x:f>IF(A58="","",Journal_Import!S58)</x:f>
      </x:c>
      <x:c r="J58" s="12">
        <x:f>IF(A58="","",Journal_Import!T58)</x:f>
      </x:c>
      <x:c r="K58" s="12">
        <x:f>IF(C58="","",IF(C58=C57,K57+I58-J58,IFERROR(INDEX(COA_Master!$N:$N,MATCH(C58,COA_Master!$A:$A,0)),0)+I58-J58))</x:f>
      </x:c>
      <x:c r="L58" s="19">
        <x:f>IF(A58="","",IF(IFERROR(INDEX(COA_Master!$G:$G,MATCH(C58,COA_Master!$A:$A,0)),"Debit")="Debit",IF(K58&gt;=0,"Debit","Credit"),IF(K58&gt;=0,"Credit","Debit")))</x:f>
      </x:c>
      <x:c r="M58" s="19">
        <x:f>IF(A58="","",Journal_Import!V58)</x:f>
      </x:c>
      <x:c r="N58" s="19">
        <x:f>IF(A58="","",Journal_Import!W58)</x:f>
      </x:c>
      <x:c r="O58" s="19">
        <x:f>IF(A58="","",Journal_Import!Z58)</x:f>
      </x:c>
    </x:row>
    <x:row r="59">
      <x:c r="A59" s="18">
        <x:f>IF(Journal_Import!A59="","",Journal_Import!A59)</x:f>
      </x:c>
      <x:c r="B59" s="18">
        <x:f>IF(A59="","",Journal_Import!B59)</x:f>
      </x:c>
      <x:c r="C59" s="18">
        <x:f>IF(A59="","",Journal_Import!I59)</x:f>
      </x:c>
      <x:c r="D59" s="18">
        <x:f>IF(A59="","",Journal_Import!J59)</x:f>
      </x:c>
      <x:c r="E59" s="19">
        <x:f>IF(A59="","",Journal_Import!D59)</x:f>
      </x:c>
      <x:c r="F59" s="19">
        <x:f>IF(A59="","",Journal_Import!F59)</x:f>
      </x:c>
      <x:c r="G59" s="19">
        <x:f>IF(A59="","",Journal_Import!G59)</x:f>
      </x:c>
      <x:c r="H59" s="19">
        <x:f>IF(A59="","",Journal_Import!H59)</x:f>
      </x:c>
      <x:c r="I59" s="12">
        <x:f>IF(A59="","",Journal_Import!S59)</x:f>
      </x:c>
      <x:c r="J59" s="12">
        <x:f>IF(A59="","",Journal_Import!T59)</x:f>
      </x:c>
      <x:c r="K59" s="12">
        <x:f>IF(C59="","",IF(C59=C58,K58+I59-J59,IFERROR(INDEX(COA_Master!$N:$N,MATCH(C59,COA_Master!$A:$A,0)),0)+I59-J59))</x:f>
      </x:c>
      <x:c r="L59" s="19">
        <x:f>IF(A59="","",IF(IFERROR(INDEX(COA_Master!$G:$G,MATCH(C59,COA_Master!$A:$A,0)),"Debit")="Debit",IF(K59&gt;=0,"Debit","Credit"),IF(K59&gt;=0,"Credit","Debit")))</x:f>
      </x:c>
      <x:c r="M59" s="19">
        <x:f>IF(A59="","",Journal_Import!V59)</x:f>
      </x:c>
      <x:c r="N59" s="19">
        <x:f>IF(A59="","",Journal_Import!W59)</x:f>
      </x:c>
      <x:c r="O59" s="19">
        <x:f>IF(A59="","",Journal_Import!Z59)</x:f>
      </x:c>
    </x:row>
    <x:row r="60">
      <x:c r="A60" s="18">
        <x:f>IF(Journal_Import!A60="","",Journal_Import!A60)</x:f>
      </x:c>
      <x:c r="B60" s="18">
        <x:f>IF(A60="","",Journal_Import!B60)</x:f>
      </x:c>
      <x:c r="C60" s="18">
        <x:f>IF(A60="","",Journal_Import!I60)</x:f>
      </x:c>
      <x:c r="D60" s="18">
        <x:f>IF(A60="","",Journal_Import!J60)</x:f>
      </x:c>
      <x:c r="E60" s="19">
        <x:f>IF(A60="","",Journal_Import!D60)</x:f>
      </x:c>
      <x:c r="F60" s="19">
        <x:f>IF(A60="","",Journal_Import!F60)</x:f>
      </x:c>
      <x:c r="G60" s="19">
        <x:f>IF(A60="","",Journal_Import!G60)</x:f>
      </x:c>
      <x:c r="H60" s="19">
        <x:f>IF(A60="","",Journal_Import!H60)</x:f>
      </x:c>
      <x:c r="I60" s="12">
        <x:f>IF(A60="","",Journal_Import!S60)</x:f>
      </x:c>
      <x:c r="J60" s="12">
        <x:f>IF(A60="","",Journal_Import!T60)</x:f>
      </x:c>
      <x:c r="K60" s="12">
        <x:f>IF(C60="","",IF(C60=C59,K59+I60-J60,IFERROR(INDEX(COA_Master!$N:$N,MATCH(C60,COA_Master!$A:$A,0)),0)+I60-J60))</x:f>
      </x:c>
      <x:c r="L60" s="19">
        <x:f>IF(A60="","",IF(IFERROR(INDEX(COA_Master!$G:$G,MATCH(C60,COA_Master!$A:$A,0)),"Debit")="Debit",IF(K60&gt;=0,"Debit","Credit"),IF(K60&gt;=0,"Credit","Debit")))</x:f>
      </x:c>
      <x:c r="M60" s="19">
        <x:f>IF(A60="","",Journal_Import!V60)</x:f>
      </x:c>
      <x:c r="N60" s="19">
        <x:f>IF(A60="","",Journal_Import!W60)</x:f>
      </x:c>
      <x:c r="O60" s="19">
        <x:f>IF(A60="","",Journal_Import!Z60)</x:f>
      </x:c>
    </x:row>
    <x:row r="61">
      <x:c r="A61" s="18">
        <x:f>IF(Journal_Import!A61="","",Journal_Import!A61)</x:f>
      </x:c>
      <x:c r="B61" s="18">
        <x:f>IF(A61="","",Journal_Import!B61)</x:f>
      </x:c>
      <x:c r="C61" s="18">
        <x:f>IF(A61="","",Journal_Import!I61)</x:f>
      </x:c>
      <x:c r="D61" s="18">
        <x:f>IF(A61="","",Journal_Import!J61)</x:f>
      </x:c>
      <x:c r="E61" s="19">
        <x:f>IF(A61="","",Journal_Import!D61)</x:f>
      </x:c>
      <x:c r="F61" s="19">
        <x:f>IF(A61="","",Journal_Import!F61)</x:f>
      </x:c>
      <x:c r="G61" s="19">
        <x:f>IF(A61="","",Journal_Import!G61)</x:f>
      </x:c>
      <x:c r="H61" s="19">
        <x:f>IF(A61="","",Journal_Import!H61)</x:f>
      </x:c>
      <x:c r="I61" s="12">
        <x:f>IF(A61="","",Journal_Import!S61)</x:f>
      </x:c>
      <x:c r="J61" s="12">
        <x:f>IF(A61="","",Journal_Import!T61)</x:f>
      </x:c>
      <x:c r="K61" s="12">
        <x:f>IF(C61="","",IF(C61=C60,K60+I61-J61,IFERROR(INDEX(COA_Master!$N:$N,MATCH(C61,COA_Master!$A:$A,0)),0)+I61-J61))</x:f>
      </x:c>
      <x:c r="L61" s="19">
        <x:f>IF(A61="","",IF(IFERROR(INDEX(COA_Master!$G:$G,MATCH(C61,COA_Master!$A:$A,0)),"Debit")="Debit",IF(K61&gt;=0,"Debit","Credit"),IF(K61&gt;=0,"Credit","Debit")))</x:f>
      </x:c>
      <x:c r="M61" s="19">
        <x:f>IF(A61="","",Journal_Import!V61)</x:f>
      </x:c>
      <x:c r="N61" s="19">
        <x:f>IF(A61="","",Journal_Import!W61)</x:f>
      </x:c>
      <x:c r="O61" s="19">
        <x:f>IF(A61="","",Journal_Import!Z61)</x:f>
      </x:c>
    </x:row>
    <x:row r="62">
      <x:c r="A62" s="18">
        <x:f>IF(Journal_Import!A62="","",Journal_Import!A62)</x:f>
      </x:c>
      <x:c r="B62" s="18">
        <x:f>IF(A62="","",Journal_Import!B62)</x:f>
      </x:c>
      <x:c r="C62" s="18">
        <x:f>IF(A62="","",Journal_Import!I62)</x:f>
      </x:c>
      <x:c r="D62" s="18">
        <x:f>IF(A62="","",Journal_Import!J62)</x:f>
      </x:c>
      <x:c r="E62" s="19">
        <x:f>IF(A62="","",Journal_Import!D62)</x:f>
      </x:c>
      <x:c r="F62" s="19">
        <x:f>IF(A62="","",Journal_Import!F62)</x:f>
      </x:c>
      <x:c r="G62" s="19">
        <x:f>IF(A62="","",Journal_Import!G62)</x:f>
      </x:c>
      <x:c r="H62" s="19">
        <x:f>IF(A62="","",Journal_Import!H62)</x:f>
      </x:c>
      <x:c r="I62" s="12">
        <x:f>IF(A62="","",Journal_Import!S62)</x:f>
      </x:c>
      <x:c r="J62" s="12">
        <x:f>IF(A62="","",Journal_Import!T62)</x:f>
      </x:c>
      <x:c r="K62" s="12">
        <x:f>IF(C62="","",IF(C62=C61,K61+I62-J62,IFERROR(INDEX(COA_Master!$N:$N,MATCH(C62,COA_Master!$A:$A,0)),0)+I62-J62))</x:f>
      </x:c>
      <x:c r="L62" s="19">
        <x:f>IF(A62="","",IF(IFERROR(INDEX(COA_Master!$G:$G,MATCH(C62,COA_Master!$A:$A,0)),"Debit")="Debit",IF(K62&gt;=0,"Debit","Credit"),IF(K62&gt;=0,"Credit","Debit")))</x:f>
      </x:c>
      <x:c r="M62" s="19">
        <x:f>IF(A62="","",Journal_Import!V62)</x:f>
      </x:c>
      <x:c r="N62" s="19">
        <x:f>IF(A62="","",Journal_Import!W62)</x:f>
      </x:c>
      <x:c r="O62" s="19">
        <x:f>IF(A62="","",Journal_Import!Z62)</x:f>
      </x:c>
    </x:row>
    <x:row r="63">
      <x:c r="A63" s="18">
        <x:f>IF(Journal_Import!A63="","",Journal_Import!A63)</x:f>
      </x:c>
      <x:c r="B63" s="18">
        <x:f>IF(A63="","",Journal_Import!B63)</x:f>
      </x:c>
      <x:c r="C63" s="18">
        <x:f>IF(A63="","",Journal_Import!I63)</x:f>
      </x:c>
      <x:c r="D63" s="18">
        <x:f>IF(A63="","",Journal_Import!J63)</x:f>
      </x:c>
      <x:c r="E63" s="19">
        <x:f>IF(A63="","",Journal_Import!D63)</x:f>
      </x:c>
      <x:c r="F63" s="19">
        <x:f>IF(A63="","",Journal_Import!F63)</x:f>
      </x:c>
      <x:c r="G63" s="19">
        <x:f>IF(A63="","",Journal_Import!G63)</x:f>
      </x:c>
      <x:c r="H63" s="19">
        <x:f>IF(A63="","",Journal_Import!H63)</x:f>
      </x:c>
      <x:c r="I63" s="12">
        <x:f>IF(A63="","",Journal_Import!S63)</x:f>
      </x:c>
      <x:c r="J63" s="12">
        <x:f>IF(A63="","",Journal_Import!T63)</x:f>
      </x:c>
      <x:c r="K63" s="12">
        <x:f>IF(C63="","",IF(C63=C62,K62+I63-J63,IFERROR(INDEX(COA_Master!$N:$N,MATCH(C63,COA_Master!$A:$A,0)),0)+I63-J63))</x:f>
      </x:c>
      <x:c r="L63" s="19">
        <x:f>IF(A63="","",IF(IFERROR(INDEX(COA_Master!$G:$G,MATCH(C63,COA_Master!$A:$A,0)),"Debit")="Debit",IF(K63&gt;=0,"Debit","Credit"),IF(K63&gt;=0,"Credit","Debit")))</x:f>
      </x:c>
      <x:c r="M63" s="19">
        <x:f>IF(A63="","",Journal_Import!V63)</x:f>
      </x:c>
      <x:c r="N63" s="19">
        <x:f>IF(A63="","",Journal_Import!W63)</x:f>
      </x:c>
      <x:c r="O63" s="19">
        <x:f>IF(A63="","",Journal_Import!Z63)</x:f>
      </x:c>
    </x:row>
    <x:row r="64">
      <x:c r="A64" s="18">
        <x:f>IF(Journal_Import!A64="","",Journal_Import!A64)</x:f>
      </x:c>
      <x:c r="B64" s="18">
        <x:f>IF(A64="","",Journal_Import!B64)</x:f>
      </x:c>
      <x:c r="C64" s="18">
        <x:f>IF(A64="","",Journal_Import!I64)</x:f>
      </x:c>
      <x:c r="D64" s="18">
        <x:f>IF(A64="","",Journal_Import!J64)</x:f>
      </x:c>
      <x:c r="E64" s="19">
        <x:f>IF(A64="","",Journal_Import!D64)</x:f>
      </x:c>
      <x:c r="F64" s="19">
        <x:f>IF(A64="","",Journal_Import!F64)</x:f>
      </x:c>
      <x:c r="G64" s="19">
        <x:f>IF(A64="","",Journal_Import!G64)</x:f>
      </x:c>
      <x:c r="H64" s="19">
        <x:f>IF(A64="","",Journal_Import!H64)</x:f>
      </x:c>
      <x:c r="I64" s="12">
        <x:f>IF(A64="","",Journal_Import!S64)</x:f>
      </x:c>
      <x:c r="J64" s="12">
        <x:f>IF(A64="","",Journal_Import!T64)</x:f>
      </x:c>
      <x:c r="K64" s="12">
        <x:f>IF(C64="","",IF(C64=C63,K63+I64-J64,IFERROR(INDEX(COA_Master!$N:$N,MATCH(C64,COA_Master!$A:$A,0)),0)+I64-J64))</x:f>
      </x:c>
      <x:c r="L64" s="19">
        <x:f>IF(A64="","",IF(IFERROR(INDEX(COA_Master!$G:$G,MATCH(C64,COA_Master!$A:$A,0)),"Debit")="Debit",IF(K64&gt;=0,"Debit","Credit"),IF(K64&gt;=0,"Credit","Debit")))</x:f>
      </x:c>
      <x:c r="M64" s="19">
        <x:f>IF(A64="","",Journal_Import!V64)</x:f>
      </x:c>
      <x:c r="N64" s="19">
        <x:f>IF(A64="","",Journal_Import!W64)</x:f>
      </x:c>
      <x:c r="O64" s="19">
        <x:f>IF(A64="","",Journal_Import!Z64)</x:f>
      </x:c>
    </x:row>
    <x:row r="65">
      <x:c r="A65" s="18">
        <x:f>IF(Journal_Import!A65="","",Journal_Import!A65)</x:f>
      </x:c>
      <x:c r="B65" s="18">
        <x:f>IF(A65="","",Journal_Import!B65)</x:f>
      </x:c>
      <x:c r="C65" s="18">
        <x:f>IF(A65="","",Journal_Import!I65)</x:f>
      </x:c>
      <x:c r="D65" s="18">
        <x:f>IF(A65="","",Journal_Import!J65)</x:f>
      </x:c>
      <x:c r="E65" s="19">
        <x:f>IF(A65="","",Journal_Import!D65)</x:f>
      </x:c>
      <x:c r="F65" s="19">
        <x:f>IF(A65="","",Journal_Import!F65)</x:f>
      </x:c>
      <x:c r="G65" s="19">
        <x:f>IF(A65="","",Journal_Import!G65)</x:f>
      </x:c>
      <x:c r="H65" s="19">
        <x:f>IF(A65="","",Journal_Import!H65)</x:f>
      </x:c>
      <x:c r="I65" s="12">
        <x:f>IF(A65="","",Journal_Import!S65)</x:f>
      </x:c>
      <x:c r="J65" s="12">
        <x:f>IF(A65="","",Journal_Import!T65)</x:f>
      </x:c>
      <x:c r="K65" s="12">
        <x:f>IF(C65="","",IF(C65=C64,K64+I65-J65,IFERROR(INDEX(COA_Master!$N:$N,MATCH(C65,COA_Master!$A:$A,0)),0)+I65-J65))</x:f>
      </x:c>
      <x:c r="L65" s="19">
        <x:f>IF(A65="","",IF(IFERROR(INDEX(COA_Master!$G:$G,MATCH(C65,COA_Master!$A:$A,0)),"Debit")="Debit",IF(K65&gt;=0,"Debit","Credit"),IF(K65&gt;=0,"Credit","Debit")))</x:f>
      </x:c>
      <x:c r="M65" s="19">
        <x:f>IF(A65="","",Journal_Import!V65)</x:f>
      </x:c>
      <x:c r="N65" s="19">
        <x:f>IF(A65="","",Journal_Import!W65)</x:f>
      </x:c>
      <x:c r="O65" s="19">
        <x:f>IF(A65="","",Journal_Import!Z65)</x:f>
      </x:c>
    </x:row>
    <x:row r="66">
      <x:c r="A66" s="18">
        <x:f>IF(Journal_Import!A66="","",Journal_Import!A66)</x:f>
      </x:c>
      <x:c r="B66" s="18">
        <x:f>IF(A66="","",Journal_Import!B66)</x:f>
      </x:c>
      <x:c r="C66" s="18">
        <x:f>IF(A66="","",Journal_Import!I66)</x:f>
      </x:c>
      <x:c r="D66" s="18">
        <x:f>IF(A66="","",Journal_Import!J66)</x:f>
      </x:c>
      <x:c r="E66" s="19">
        <x:f>IF(A66="","",Journal_Import!D66)</x:f>
      </x:c>
      <x:c r="F66" s="19">
        <x:f>IF(A66="","",Journal_Import!F66)</x:f>
      </x:c>
      <x:c r="G66" s="19">
        <x:f>IF(A66="","",Journal_Import!G66)</x:f>
      </x:c>
      <x:c r="H66" s="19">
        <x:f>IF(A66="","",Journal_Import!H66)</x:f>
      </x:c>
      <x:c r="I66" s="12">
        <x:f>IF(A66="","",Journal_Import!S66)</x:f>
      </x:c>
      <x:c r="J66" s="12">
        <x:f>IF(A66="","",Journal_Import!T66)</x:f>
      </x:c>
      <x:c r="K66" s="12">
        <x:f>IF(C66="","",IF(C66=C65,K65+I66-J66,IFERROR(INDEX(COA_Master!$N:$N,MATCH(C66,COA_Master!$A:$A,0)),0)+I66-J66))</x:f>
      </x:c>
      <x:c r="L66" s="19">
        <x:f>IF(A66="","",IF(IFERROR(INDEX(COA_Master!$G:$G,MATCH(C66,COA_Master!$A:$A,0)),"Debit")="Debit",IF(K66&gt;=0,"Debit","Credit"),IF(K66&gt;=0,"Credit","Debit")))</x:f>
      </x:c>
      <x:c r="M66" s="19">
        <x:f>IF(A66="","",Journal_Import!V66)</x:f>
      </x:c>
      <x:c r="N66" s="19">
        <x:f>IF(A66="","",Journal_Import!W66)</x:f>
      </x:c>
      <x:c r="O66" s="19">
        <x:f>IF(A66="","",Journal_Import!Z66)</x:f>
      </x:c>
    </x:row>
    <x:row r="67">
      <x:c r="A67" s="18">
        <x:f>IF(Journal_Import!A67="","",Journal_Import!A67)</x:f>
      </x:c>
      <x:c r="B67" s="18">
        <x:f>IF(A67="","",Journal_Import!B67)</x:f>
      </x:c>
      <x:c r="C67" s="18">
        <x:f>IF(A67="","",Journal_Import!I67)</x:f>
      </x:c>
      <x:c r="D67" s="18">
        <x:f>IF(A67="","",Journal_Import!J67)</x:f>
      </x:c>
      <x:c r="E67" s="19">
        <x:f>IF(A67="","",Journal_Import!D67)</x:f>
      </x:c>
      <x:c r="F67" s="19">
        <x:f>IF(A67="","",Journal_Import!F67)</x:f>
      </x:c>
      <x:c r="G67" s="19">
        <x:f>IF(A67="","",Journal_Import!G67)</x:f>
      </x:c>
      <x:c r="H67" s="19">
        <x:f>IF(A67="","",Journal_Import!H67)</x:f>
      </x:c>
      <x:c r="I67" s="12">
        <x:f>IF(A67="","",Journal_Import!S67)</x:f>
      </x:c>
      <x:c r="J67" s="12">
        <x:f>IF(A67="","",Journal_Import!T67)</x:f>
      </x:c>
      <x:c r="K67" s="12">
        <x:f>IF(C67="","",IF(C67=C66,K66+I67-J67,IFERROR(INDEX(COA_Master!$N:$N,MATCH(C67,COA_Master!$A:$A,0)),0)+I67-J67))</x:f>
      </x:c>
      <x:c r="L67" s="19">
        <x:f>IF(A67="","",IF(IFERROR(INDEX(COA_Master!$G:$G,MATCH(C67,COA_Master!$A:$A,0)),"Debit")="Debit",IF(K67&gt;=0,"Debit","Credit"),IF(K67&gt;=0,"Credit","Debit")))</x:f>
      </x:c>
      <x:c r="M67" s="19">
        <x:f>IF(A67="","",Journal_Import!V67)</x:f>
      </x:c>
      <x:c r="N67" s="19">
        <x:f>IF(A67="","",Journal_Import!W67)</x:f>
      </x:c>
      <x:c r="O67" s="19">
        <x:f>IF(A67="","",Journal_Import!Z67)</x:f>
      </x:c>
    </x:row>
    <x:row r="68">
      <x:c r="A68" s="18">
        <x:f>IF(Journal_Import!A68="","",Journal_Import!A68)</x:f>
      </x:c>
      <x:c r="B68" s="18">
        <x:f>IF(A68="","",Journal_Import!B68)</x:f>
      </x:c>
      <x:c r="C68" s="18">
        <x:f>IF(A68="","",Journal_Import!I68)</x:f>
      </x:c>
      <x:c r="D68" s="18">
        <x:f>IF(A68="","",Journal_Import!J68)</x:f>
      </x:c>
      <x:c r="E68" s="19">
        <x:f>IF(A68="","",Journal_Import!D68)</x:f>
      </x:c>
      <x:c r="F68" s="19">
        <x:f>IF(A68="","",Journal_Import!F68)</x:f>
      </x:c>
      <x:c r="G68" s="19">
        <x:f>IF(A68="","",Journal_Import!G68)</x:f>
      </x:c>
      <x:c r="H68" s="19">
        <x:f>IF(A68="","",Journal_Import!H68)</x:f>
      </x:c>
      <x:c r="I68" s="12">
        <x:f>IF(A68="","",Journal_Import!S68)</x:f>
      </x:c>
      <x:c r="J68" s="12">
        <x:f>IF(A68="","",Journal_Import!T68)</x:f>
      </x:c>
      <x:c r="K68" s="12">
        <x:f>IF(C68="","",IF(C68=C67,K67+I68-J68,IFERROR(INDEX(COA_Master!$N:$N,MATCH(C68,COA_Master!$A:$A,0)),0)+I68-J68))</x:f>
      </x:c>
      <x:c r="L68" s="19">
        <x:f>IF(A68="","",IF(IFERROR(INDEX(COA_Master!$G:$G,MATCH(C68,COA_Master!$A:$A,0)),"Debit")="Debit",IF(K68&gt;=0,"Debit","Credit"),IF(K68&gt;=0,"Credit","Debit")))</x:f>
      </x:c>
      <x:c r="M68" s="19">
        <x:f>IF(A68="","",Journal_Import!V68)</x:f>
      </x:c>
      <x:c r="N68" s="19">
        <x:f>IF(A68="","",Journal_Import!W68)</x:f>
      </x:c>
      <x:c r="O68" s="19">
        <x:f>IF(A68="","",Journal_Import!Z68)</x:f>
      </x:c>
    </x:row>
    <x:row r="69">
      <x:c r="A69" s="18">
        <x:f>IF(Journal_Import!A69="","",Journal_Import!A69)</x:f>
      </x:c>
      <x:c r="B69" s="18">
        <x:f>IF(A69="","",Journal_Import!B69)</x:f>
      </x:c>
      <x:c r="C69" s="18">
        <x:f>IF(A69="","",Journal_Import!I69)</x:f>
      </x:c>
      <x:c r="D69" s="18">
        <x:f>IF(A69="","",Journal_Import!J69)</x:f>
      </x:c>
      <x:c r="E69" s="19">
        <x:f>IF(A69="","",Journal_Import!D69)</x:f>
      </x:c>
      <x:c r="F69" s="19">
        <x:f>IF(A69="","",Journal_Import!F69)</x:f>
      </x:c>
      <x:c r="G69" s="19">
        <x:f>IF(A69="","",Journal_Import!G69)</x:f>
      </x:c>
      <x:c r="H69" s="19">
        <x:f>IF(A69="","",Journal_Import!H69)</x:f>
      </x:c>
      <x:c r="I69" s="12">
        <x:f>IF(A69="","",Journal_Import!S69)</x:f>
      </x:c>
      <x:c r="J69" s="12">
        <x:f>IF(A69="","",Journal_Import!T69)</x:f>
      </x:c>
      <x:c r="K69" s="12">
        <x:f>IF(C69="","",IF(C69=C68,K68+I69-J69,IFERROR(INDEX(COA_Master!$N:$N,MATCH(C69,COA_Master!$A:$A,0)),0)+I69-J69))</x:f>
      </x:c>
      <x:c r="L69" s="19">
        <x:f>IF(A69="","",IF(IFERROR(INDEX(COA_Master!$G:$G,MATCH(C69,COA_Master!$A:$A,0)),"Debit")="Debit",IF(K69&gt;=0,"Debit","Credit"),IF(K69&gt;=0,"Credit","Debit")))</x:f>
      </x:c>
      <x:c r="M69" s="19">
        <x:f>IF(A69="","",Journal_Import!V69)</x:f>
      </x:c>
      <x:c r="N69" s="19">
        <x:f>IF(A69="","",Journal_Import!W69)</x:f>
      </x:c>
      <x:c r="O69" s="19">
        <x:f>IF(A69="","",Journal_Import!Z69)</x:f>
      </x:c>
    </x:row>
    <x:row r="70">
      <x:c r="A70" s="18">
        <x:f>IF(Journal_Import!A70="","",Journal_Import!A70)</x:f>
      </x:c>
      <x:c r="B70" s="18">
        <x:f>IF(A70="","",Journal_Import!B70)</x:f>
      </x:c>
      <x:c r="C70" s="18">
        <x:f>IF(A70="","",Journal_Import!I70)</x:f>
      </x:c>
      <x:c r="D70" s="18">
        <x:f>IF(A70="","",Journal_Import!J70)</x:f>
      </x:c>
      <x:c r="E70" s="19">
        <x:f>IF(A70="","",Journal_Import!D70)</x:f>
      </x:c>
      <x:c r="F70" s="19">
        <x:f>IF(A70="","",Journal_Import!F70)</x:f>
      </x:c>
      <x:c r="G70" s="19">
        <x:f>IF(A70="","",Journal_Import!G70)</x:f>
      </x:c>
      <x:c r="H70" s="19">
        <x:f>IF(A70="","",Journal_Import!H70)</x:f>
      </x:c>
      <x:c r="I70" s="12">
        <x:f>IF(A70="","",Journal_Import!S70)</x:f>
      </x:c>
      <x:c r="J70" s="12">
        <x:f>IF(A70="","",Journal_Import!T70)</x:f>
      </x:c>
      <x:c r="K70" s="12">
        <x:f>IF(C70="","",IF(C70=C69,K69+I70-J70,IFERROR(INDEX(COA_Master!$N:$N,MATCH(C70,COA_Master!$A:$A,0)),0)+I70-J70))</x:f>
      </x:c>
      <x:c r="L70" s="19">
        <x:f>IF(A70="","",IF(IFERROR(INDEX(COA_Master!$G:$G,MATCH(C70,COA_Master!$A:$A,0)),"Debit")="Debit",IF(K70&gt;=0,"Debit","Credit"),IF(K70&gt;=0,"Credit","Debit")))</x:f>
      </x:c>
      <x:c r="M70" s="19">
        <x:f>IF(A70="","",Journal_Import!V70)</x:f>
      </x:c>
      <x:c r="N70" s="19">
        <x:f>IF(A70="","",Journal_Import!W70)</x:f>
      </x:c>
      <x:c r="O70" s="19">
        <x:f>IF(A70="","",Journal_Import!Z70)</x:f>
      </x:c>
    </x:row>
    <x:row r="71">
      <x:c r="A71" s="18">
        <x:f>IF(Journal_Import!A71="","",Journal_Import!A71)</x:f>
      </x:c>
      <x:c r="B71" s="18">
        <x:f>IF(A71="","",Journal_Import!B71)</x:f>
      </x:c>
      <x:c r="C71" s="18">
        <x:f>IF(A71="","",Journal_Import!I71)</x:f>
      </x:c>
      <x:c r="D71" s="18">
        <x:f>IF(A71="","",Journal_Import!J71)</x:f>
      </x:c>
      <x:c r="E71" s="19">
        <x:f>IF(A71="","",Journal_Import!D71)</x:f>
      </x:c>
      <x:c r="F71" s="19">
        <x:f>IF(A71="","",Journal_Import!F71)</x:f>
      </x:c>
      <x:c r="G71" s="19">
        <x:f>IF(A71="","",Journal_Import!G71)</x:f>
      </x:c>
      <x:c r="H71" s="19">
        <x:f>IF(A71="","",Journal_Import!H71)</x:f>
      </x:c>
      <x:c r="I71" s="12">
        <x:f>IF(A71="","",Journal_Import!S71)</x:f>
      </x:c>
      <x:c r="J71" s="12">
        <x:f>IF(A71="","",Journal_Import!T71)</x:f>
      </x:c>
      <x:c r="K71" s="12">
        <x:f>IF(C71="","",IF(C71=C70,K70+I71-J71,IFERROR(INDEX(COA_Master!$N:$N,MATCH(C71,COA_Master!$A:$A,0)),0)+I71-J71))</x:f>
      </x:c>
      <x:c r="L71" s="19">
        <x:f>IF(A71="","",IF(IFERROR(INDEX(COA_Master!$G:$G,MATCH(C71,COA_Master!$A:$A,0)),"Debit")="Debit",IF(K71&gt;=0,"Debit","Credit"),IF(K71&gt;=0,"Credit","Debit")))</x:f>
      </x:c>
      <x:c r="M71" s="19">
        <x:f>IF(A71="","",Journal_Import!V71)</x:f>
      </x:c>
      <x:c r="N71" s="19">
        <x:f>IF(A71="","",Journal_Import!W71)</x:f>
      </x:c>
      <x:c r="O71" s="19">
        <x:f>IF(A71="","",Journal_Import!Z71)</x:f>
      </x:c>
    </x:row>
    <x:row r="72">
      <x:c r="A72" s="18">
        <x:f>IF(Journal_Import!A72="","",Journal_Import!A72)</x:f>
      </x:c>
      <x:c r="B72" s="18">
        <x:f>IF(A72="","",Journal_Import!B72)</x:f>
      </x:c>
      <x:c r="C72" s="18">
        <x:f>IF(A72="","",Journal_Import!I72)</x:f>
      </x:c>
      <x:c r="D72" s="18">
        <x:f>IF(A72="","",Journal_Import!J72)</x:f>
      </x:c>
      <x:c r="E72" s="19">
        <x:f>IF(A72="","",Journal_Import!D72)</x:f>
      </x:c>
      <x:c r="F72" s="19">
        <x:f>IF(A72="","",Journal_Import!F72)</x:f>
      </x:c>
      <x:c r="G72" s="19">
        <x:f>IF(A72="","",Journal_Import!G72)</x:f>
      </x:c>
      <x:c r="H72" s="19">
        <x:f>IF(A72="","",Journal_Import!H72)</x:f>
      </x:c>
      <x:c r="I72" s="12">
        <x:f>IF(A72="","",Journal_Import!S72)</x:f>
      </x:c>
      <x:c r="J72" s="12">
        <x:f>IF(A72="","",Journal_Import!T72)</x:f>
      </x:c>
      <x:c r="K72" s="12">
        <x:f>IF(C72="","",IF(C72=C71,K71+I72-J72,IFERROR(INDEX(COA_Master!$N:$N,MATCH(C72,COA_Master!$A:$A,0)),0)+I72-J72))</x:f>
      </x:c>
      <x:c r="L72" s="19">
        <x:f>IF(A72="","",IF(IFERROR(INDEX(COA_Master!$G:$G,MATCH(C72,COA_Master!$A:$A,0)),"Debit")="Debit",IF(K72&gt;=0,"Debit","Credit"),IF(K72&gt;=0,"Credit","Debit")))</x:f>
      </x:c>
      <x:c r="M72" s="19">
        <x:f>IF(A72="","",Journal_Import!V72)</x:f>
      </x:c>
      <x:c r="N72" s="19">
        <x:f>IF(A72="","",Journal_Import!W72)</x:f>
      </x:c>
      <x:c r="O72" s="19">
        <x:f>IF(A72="","",Journal_Import!Z72)</x:f>
      </x:c>
    </x:row>
    <x:row r="73">
      <x:c r="A73" s="18">
        <x:f>IF(Journal_Import!A73="","",Journal_Import!A73)</x:f>
      </x:c>
      <x:c r="B73" s="18">
        <x:f>IF(A73="","",Journal_Import!B73)</x:f>
      </x:c>
      <x:c r="C73" s="18">
        <x:f>IF(A73="","",Journal_Import!I73)</x:f>
      </x:c>
      <x:c r="D73" s="18">
        <x:f>IF(A73="","",Journal_Import!J73)</x:f>
      </x:c>
      <x:c r="E73" s="19">
        <x:f>IF(A73="","",Journal_Import!D73)</x:f>
      </x:c>
      <x:c r="F73" s="19">
        <x:f>IF(A73="","",Journal_Import!F73)</x:f>
      </x:c>
      <x:c r="G73" s="19">
        <x:f>IF(A73="","",Journal_Import!G73)</x:f>
      </x:c>
      <x:c r="H73" s="19">
        <x:f>IF(A73="","",Journal_Import!H73)</x:f>
      </x:c>
      <x:c r="I73" s="12">
        <x:f>IF(A73="","",Journal_Import!S73)</x:f>
      </x:c>
      <x:c r="J73" s="12">
        <x:f>IF(A73="","",Journal_Import!T73)</x:f>
      </x:c>
      <x:c r="K73" s="12">
        <x:f>IF(C73="","",IF(C73=C72,K72+I73-J73,IFERROR(INDEX(COA_Master!$N:$N,MATCH(C73,COA_Master!$A:$A,0)),0)+I73-J73))</x:f>
      </x:c>
      <x:c r="L73" s="19">
        <x:f>IF(A73="","",IF(IFERROR(INDEX(COA_Master!$G:$G,MATCH(C73,COA_Master!$A:$A,0)),"Debit")="Debit",IF(K73&gt;=0,"Debit","Credit"),IF(K73&gt;=0,"Credit","Debit")))</x:f>
      </x:c>
      <x:c r="M73" s="19">
        <x:f>IF(A73="","",Journal_Import!V73)</x:f>
      </x:c>
      <x:c r="N73" s="19">
        <x:f>IF(A73="","",Journal_Import!W73)</x:f>
      </x:c>
      <x:c r="O73" s="19">
        <x:f>IF(A73="","",Journal_Import!Z73)</x:f>
      </x:c>
    </x:row>
    <x:row r="74">
      <x:c r="A74" s="18">
        <x:f>IF(Journal_Import!A74="","",Journal_Import!A74)</x:f>
      </x:c>
      <x:c r="B74" s="18">
        <x:f>IF(A74="","",Journal_Import!B74)</x:f>
      </x:c>
      <x:c r="C74" s="18">
        <x:f>IF(A74="","",Journal_Import!I74)</x:f>
      </x:c>
      <x:c r="D74" s="18">
        <x:f>IF(A74="","",Journal_Import!J74)</x:f>
      </x:c>
      <x:c r="E74" s="19">
        <x:f>IF(A74="","",Journal_Import!D74)</x:f>
      </x:c>
      <x:c r="F74" s="19">
        <x:f>IF(A74="","",Journal_Import!F74)</x:f>
      </x:c>
      <x:c r="G74" s="19">
        <x:f>IF(A74="","",Journal_Import!G74)</x:f>
      </x:c>
      <x:c r="H74" s="19">
        <x:f>IF(A74="","",Journal_Import!H74)</x:f>
      </x:c>
      <x:c r="I74" s="12">
        <x:f>IF(A74="","",Journal_Import!S74)</x:f>
      </x:c>
      <x:c r="J74" s="12">
        <x:f>IF(A74="","",Journal_Import!T74)</x:f>
      </x:c>
      <x:c r="K74" s="12">
        <x:f>IF(C74="","",IF(C74=C73,K73+I74-J74,IFERROR(INDEX(COA_Master!$N:$N,MATCH(C74,COA_Master!$A:$A,0)),0)+I74-J74))</x:f>
      </x:c>
      <x:c r="L74" s="19">
        <x:f>IF(A74="","",IF(IFERROR(INDEX(COA_Master!$G:$G,MATCH(C74,COA_Master!$A:$A,0)),"Debit")="Debit",IF(K74&gt;=0,"Debit","Credit"),IF(K74&gt;=0,"Credit","Debit")))</x:f>
      </x:c>
      <x:c r="M74" s="19">
        <x:f>IF(A74="","",Journal_Import!V74)</x:f>
      </x:c>
      <x:c r="N74" s="19">
        <x:f>IF(A74="","",Journal_Import!W74)</x:f>
      </x:c>
      <x:c r="O74" s="19">
        <x:f>IF(A74="","",Journal_Import!Z74)</x:f>
      </x:c>
    </x:row>
    <x:row r="75">
      <x:c r="A75" s="18">
        <x:f>IF(Journal_Import!A75="","",Journal_Import!A75)</x:f>
      </x:c>
      <x:c r="B75" s="18">
        <x:f>IF(A75="","",Journal_Import!B75)</x:f>
      </x:c>
      <x:c r="C75" s="18">
        <x:f>IF(A75="","",Journal_Import!I75)</x:f>
      </x:c>
      <x:c r="D75" s="18">
        <x:f>IF(A75="","",Journal_Import!J75)</x:f>
      </x:c>
      <x:c r="E75" s="19">
        <x:f>IF(A75="","",Journal_Import!D75)</x:f>
      </x:c>
      <x:c r="F75" s="19">
        <x:f>IF(A75="","",Journal_Import!F75)</x:f>
      </x:c>
      <x:c r="G75" s="19">
        <x:f>IF(A75="","",Journal_Import!G75)</x:f>
      </x:c>
      <x:c r="H75" s="19">
        <x:f>IF(A75="","",Journal_Import!H75)</x:f>
      </x:c>
      <x:c r="I75" s="12">
        <x:f>IF(A75="","",Journal_Import!S75)</x:f>
      </x:c>
      <x:c r="J75" s="12">
        <x:f>IF(A75="","",Journal_Import!T75)</x:f>
      </x:c>
      <x:c r="K75" s="12">
        <x:f>IF(C75="","",IF(C75=C74,K74+I75-J75,IFERROR(INDEX(COA_Master!$N:$N,MATCH(C75,COA_Master!$A:$A,0)),0)+I75-J75))</x:f>
      </x:c>
      <x:c r="L75" s="19">
        <x:f>IF(A75="","",IF(IFERROR(INDEX(COA_Master!$G:$G,MATCH(C75,COA_Master!$A:$A,0)),"Debit")="Debit",IF(K75&gt;=0,"Debit","Credit"),IF(K75&gt;=0,"Credit","Debit")))</x:f>
      </x:c>
      <x:c r="M75" s="19">
        <x:f>IF(A75="","",Journal_Import!V75)</x:f>
      </x:c>
      <x:c r="N75" s="19">
        <x:f>IF(A75="","",Journal_Import!W75)</x:f>
      </x:c>
      <x:c r="O75" s="19">
        <x:f>IF(A75="","",Journal_Import!Z75)</x:f>
      </x:c>
    </x:row>
    <x:row r="76">
      <x:c r="A76" s="18">
        <x:f>IF(Journal_Import!A76="","",Journal_Import!A76)</x:f>
      </x:c>
      <x:c r="B76" s="18">
        <x:f>IF(A76="","",Journal_Import!B76)</x:f>
      </x:c>
      <x:c r="C76" s="18">
        <x:f>IF(A76="","",Journal_Import!I76)</x:f>
      </x:c>
      <x:c r="D76" s="18">
        <x:f>IF(A76="","",Journal_Import!J76)</x:f>
      </x:c>
      <x:c r="E76" s="19">
        <x:f>IF(A76="","",Journal_Import!D76)</x:f>
      </x:c>
      <x:c r="F76" s="19">
        <x:f>IF(A76="","",Journal_Import!F76)</x:f>
      </x:c>
      <x:c r="G76" s="19">
        <x:f>IF(A76="","",Journal_Import!G76)</x:f>
      </x:c>
      <x:c r="H76" s="19">
        <x:f>IF(A76="","",Journal_Import!H76)</x:f>
      </x:c>
      <x:c r="I76" s="12">
        <x:f>IF(A76="","",Journal_Import!S76)</x:f>
      </x:c>
      <x:c r="J76" s="12">
        <x:f>IF(A76="","",Journal_Import!T76)</x:f>
      </x:c>
      <x:c r="K76" s="12">
        <x:f>IF(C76="","",IF(C76=C75,K75+I76-J76,IFERROR(INDEX(COA_Master!$N:$N,MATCH(C76,COA_Master!$A:$A,0)),0)+I76-J76))</x:f>
      </x:c>
      <x:c r="L76" s="19">
        <x:f>IF(A76="","",IF(IFERROR(INDEX(COA_Master!$G:$G,MATCH(C76,COA_Master!$A:$A,0)),"Debit")="Debit",IF(K76&gt;=0,"Debit","Credit"),IF(K76&gt;=0,"Credit","Debit")))</x:f>
      </x:c>
      <x:c r="M76" s="19">
        <x:f>IF(A76="","",Journal_Import!V76)</x:f>
      </x:c>
      <x:c r="N76" s="19">
        <x:f>IF(A76="","",Journal_Import!W76)</x:f>
      </x:c>
      <x:c r="O76" s="19">
        <x:f>IF(A76="","",Journal_Import!Z76)</x:f>
      </x:c>
    </x:row>
    <x:row r="77">
      <x:c r="A77" s="18">
        <x:f>IF(Journal_Import!A77="","",Journal_Import!A77)</x:f>
      </x:c>
      <x:c r="B77" s="18">
        <x:f>IF(A77="","",Journal_Import!B77)</x:f>
      </x:c>
      <x:c r="C77" s="18">
        <x:f>IF(A77="","",Journal_Import!I77)</x:f>
      </x:c>
      <x:c r="D77" s="18">
        <x:f>IF(A77="","",Journal_Import!J77)</x:f>
      </x:c>
      <x:c r="E77" s="19">
        <x:f>IF(A77="","",Journal_Import!D77)</x:f>
      </x:c>
      <x:c r="F77" s="19">
        <x:f>IF(A77="","",Journal_Import!F77)</x:f>
      </x:c>
      <x:c r="G77" s="19">
        <x:f>IF(A77="","",Journal_Import!G77)</x:f>
      </x:c>
      <x:c r="H77" s="19">
        <x:f>IF(A77="","",Journal_Import!H77)</x:f>
      </x:c>
      <x:c r="I77" s="12">
        <x:f>IF(A77="","",Journal_Import!S77)</x:f>
      </x:c>
      <x:c r="J77" s="12">
        <x:f>IF(A77="","",Journal_Import!T77)</x:f>
      </x:c>
      <x:c r="K77" s="12">
        <x:f>IF(C77="","",IF(C77=C76,K76+I77-J77,IFERROR(INDEX(COA_Master!$N:$N,MATCH(C77,COA_Master!$A:$A,0)),0)+I77-J77))</x:f>
      </x:c>
      <x:c r="L77" s="19">
        <x:f>IF(A77="","",IF(IFERROR(INDEX(COA_Master!$G:$G,MATCH(C77,COA_Master!$A:$A,0)),"Debit")="Debit",IF(K77&gt;=0,"Debit","Credit"),IF(K77&gt;=0,"Credit","Debit")))</x:f>
      </x:c>
      <x:c r="M77" s="19">
        <x:f>IF(A77="","",Journal_Import!V77)</x:f>
      </x:c>
      <x:c r="N77" s="19">
        <x:f>IF(A77="","",Journal_Import!W77)</x:f>
      </x:c>
      <x:c r="O77" s="19">
        <x:f>IF(A77="","",Journal_Import!Z77)</x:f>
      </x:c>
    </x:row>
    <x:row r="78">
      <x:c r="A78" s="18">
        <x:f>IF(Journal_Import!A78="","",Journal_Import!A78)</x:f>
      </x:c>
      <x:c r="B78" s="18">
        <x:f>IF(A78="","",Journal_Import!B78)</x:f>
      </x:c>
      <x:c r="C78" s="18">
        <x:f>IF(A78="","",Journal_Import!I78)</x:f>
      </x:c>
      <x:c r="D78" s="18">
        <x:f>IF(A78="","",Journal_Import!J78)</x:f>
      </x:c>
      <x:c r="E78" s="19">
        <x:f>IF(A78="","",Journal_Import!D78)</x:f>
      </x:c>
      <x:c r="F78" s="19">
        <x:f>IF(A78="","",Journal_Import!F78)</x:f>
      </x:c>
      <x:c r="G78" s="19">
        <x:f>IF(A78="","",Journal_Import!G78)</x:f>
      </x:c>
      <x:c r="H78" s="19">
        <x:f>IF(A78="","",Journal_Import!H78)</x:f>
      </x:c>
      <x:c r="I78" s="12">
        <x:f>IF(A78="","",Journal_Import!S78)</x:f>
      </x:c>
      <x:c r="J78" s="12">
        <x:f>IF(A78="","",Journal_Import!T78)</x:f>
      </x:c>
      <x:c r="K78" s="12">
        <x:f>IF(C78="","",IF(C78=C77,K77+I78-J78,IFERROR(INDEX(COA_Master!$N:$N,MATCH(C78,COA_Master!$A:$A,0)),0)+I78-J78))</x:f>
      </x:c>
      <x:c r="L78" s="19">
        <x:f>IF(A78="","",IF(IFERROR(INDEX(COA_Master!$G:$G,MATCH(C78,COA_Master!$A:$A,0)),"Debit")="Debit",IF(K78&gt;=0,"Debit","Credit"),IF(K78&gt;=0,"Credit","Debit")))</x:f>
      </x:c>
      <x:c r="M78" s="19">
        <x:f>IF(A78="","",Journal_Import!V78)</x:f>
      </x:c>
      <x:c r="N78" s="19">
        <x:f>IF(A78="","",Journal_Import!W78)</x:f>
      </x:c>
      <x:c r="O78" s="19">
        <x:f>IF(A78="","",Journal_Import!Z78)</x:f>
      </x:c>
    </x:row>
    <x:row r="79">
      <x:c r="A79" s="18">
        <x:f>IF(Journal_Import!A79="","",Journal_Import!A79)</x:f>
      </x:c>
      <x:c r="B79" s="18">
        <x:f>IF(A79="","",Journal_Import!B79)</x:f>
      </x:c>
      <x:c r="C79" s="18">
        <x:f>IF(A79="","",Journal_Import!I79)</x:f>
      </x:c>
      <x:c r="D79" s="18">
        <x:f>IF(A79="","",Journal_Import!J79)</x:f>
      </x:c>
      <x:c r="E79" s="19">
        <x:f>IF(A79="","",Journal_Import!D79)</x:f>
      </x:c>
      <x:c r="F79" s="19">
        <x:f>IF(A79="","",Journal_Import!F79)</x:f>
      </x:c>
      <x:c r="G79" s="19">
        <x:f>IF(A79="","",Journal_Import!G79)</x:f>
      </x:c>
      <x:c r="H79" s="19">
        <x:f>IF(A79="","",Journal_Import!H79)</x:f>
      </x:c>
      <x:c r="I79" s="12">
        <x:f>IF(A79="","",Journal_Import!S79)</x:f>
      </x:c>
      <x:c r="J79" s="12">
        <x:f>IF(A79="","",Journal_Import!T79)</x:f>
      </x:c>
      <x:c r="K79" s="12">
        <x:f>IF(C79="","",IF(C79=C78,K78+I79-J79,IFERROR(INDEX(COA_Master!$N:$N,MATCH(C79,COA_Master!$A:$A,0)),0)+I79-J79))</x:f>
      </x:c>
      <x:c r="L79" s="19">
        <x:f>IF(A79="","",IF(IFERROR(INDEX(COA_Master!$G:$G,MATCH(C79,COA_Master!$A:$A,0)),"Debit")="Debit",IF(K79&gt;=0,"Debit","Credit"),IF(K79&gt;=0,"Credit","Debit")))</x:f>
      </x:c>
      <x:c r="M79" s="19">
        <x:f>IF(A79="","",Journal_Import!V79)</x:f>
      </x:c>
      <x:c r="N79" s="19">
        <x:f>IF(A79="","",Journal_Import!W79)</x:f>
      </x:c>
      <x:c r="O79" s="19">
        <x:f>IF(A79="","",Journal_Import!Z79)</x:f>
      </x:c>
    </x:row>
    <x:row r="80">
      <x:c r="A80" s="18">
        <x:f>IF(Journal_Import!A80="","",Journal_Import!A80)</x:f>
      </x:c>
      <x:c r="B80" s="18">
        <x:f>IF(A80="","",Journal_Import!B80)</x:f>
      </x:c>
      <x:c r="C80" s="18">
        <x:f>IF(A80="","",Journal_Import!I80)</x:f>
      </x:c>
      <x:c r="D80" s="18">
        <x:f>IF(A80="","",Journal_Import!J80)</x:f>
      </x:c>
      <x:c r="E80" s="19">
        <x:f>IF(A80="","",Journal_Import!D80)</x:f>
      </x:c>
      <x:c r="F80" s="19">
        <x:f>IF(A80="","",Journal_Import!F80)</x:f>
      </x:c>
      <x:c r="G80" s="19">
        <x:f>IF(A80="","",Journal_Import!G80)</x:f>
      </x:c>
      <x:c r="H80" s="19">
        <x:f>IF(A80="","",Journal_Import!H80)</x:f>
      </x:c>
      <x:c r="I80" s="12">
        <x:f>IF(A80="","",Journal_Import!S80)</x:f>
      </x:c>
      <x:c r="J80" s="12">
        <x:f>IF(A80="","",Journal_Import!T80)</x:f>
      </x:c>
      <x:c r="K80" s="12">
        <x:f>IF(C80="","",IF(C80=C79,K79+I80-J80,IFERROR(INDEX(COA_Master!$N:$N,MATCH(C80,COA_Master!$A:$A,0)),0)+I80-J80))</x:f>
      </x:c>
      <x:c r="L80" s="19">
        <x:f>IF(A80="","",IF(IFERROR(INDEX(COA_Master!$G:$G,MATCH(C80,COA_Master!$A:$A,0)),"Debit")="Debit",IF(K80&gt;=0,"Debit","Credit"),IF(K80&gt;=0,"Credit","Debit")))</x:f>
      </x:c>
      <x:c r="M80" s="19">
        <x:f>IF(A80="","",Journal_Import!V80)</x:f>
      </x:c>
      <x:c r="N80" s="19">
        <x:f>IF(A80="","",Journal_Import!W80)</x:f>
      </x:c>
      <x:c r="O80" s="19">
        <x:f>IF(A80="","",Journal_Import!Z80)</x:f>
      </x:c>
    </x:row>
    <x:row r="81">
      <x:c r="A81" s="18">
        <x:f>IF(Journal_Import!A81="","",Journal_Import!A81)</x:f>
      </x:c>
      <x:c r="B81" s="18">
        <x:f>IF(A81="","",Journal_Import!B81)</x:f>
      </x:c>
      <x:c r="C81" s="18">
        <x:f>IF(A81="","",Journal_Import!I81)</x:f>
      </x:c>
      <x:c r="D81" s="18">
        <x:f>IF(A81="","",Journal_Import!J81)</x:f>
      </x:c>
      <x:c r="E81" s="19">
        <x:f>IF(A81="","",Journal_Import!D81)</x:f>
      </x:c>
      <x:c r="F81" s="19">
        <x:f>IF(A81="","",Journal_Import!F81)</x:f>
      </x:c>
      <x:c r="G81" s="19">
        <x:f>IF(A81="","",Journal_Import!G81)</x:f>
      </x:c>
      <x:c r="H81" s="19">
        <x:f>IF(A81="","",Journal_Import!H81)</x:f>
      </x:c>
      <x:c r="I81" s="12">
        <x:f>IF(A81="","",Journal_Import!S81)</x:f>
      </x:c>
      <x:c r="J81" s="12">
        <x:f>IF(A81="","",Journal_Import!T81)</x:f>
      </x:c>
      <x:c r="K81" s="12">
        <x:f>IF(C81="","",IF(C81=C80,K80+I81-J81,IFERROR(INDEX(COA_Master!$N:$N,MATCH(C81,COA_Master!$A:$A,0)),0)+I81-J81))</x:f>
      </x:c>
      <x:c r="L81" s="19">
        <x:f>IF(A81="","",IF(IFERROR(INDEX(COA_Master!$G:$G,MATCH(C81,COA_Master!$A:$A,0)),"Debit")="Debit",IF(K81&gt;=0,"Debit","Credit"),IF(K81&gt;=0,"Credit","Debit")))</x:f>
      </x:c>
      <x:c r="M81" s="19">
        <x:f>IF(A81="","",Journal_Import!V81)</x:f>
      </x:c>
      <x:c r="N81" s="19">
        <x:f>IF(A81="","",Journal_Import!W81)</x:f>
      </x:c>
      <x:c r="O81" s="19">
        <x:f>IF(A81="","",Journal_Import!Z81)</x:f>
      </x:c>
    </x:row>
    <x:row r="82">
      <x:c r="A82" s="18">
        <x:f>IF(Journal_Import!A82="","",Journal_Import!A82)</x:f>
      </x:c>
      <x:c r="B82" s="18">
        <x:f>IF(A82="","",Journal_Import!B82)</x:f>
      </x:c>
      <x:c r="C82" s="18">
        <x:f>IF(A82="","",Journal_Import!I82)</x:f>
      </x:c>
      <x:c r="D82" s="18">
        <x:f>IF(A82="","",Journal_Import!J82)</x:f>
      </x:c>
      <x:c r="E82" s="19">
        <x:f>IF(A82="","",Journal_Import!D82)</x:f>
      </x:c>
      <x:c r="F82" s="19">
        <x:f>IF(A82="","",Journal_Import!F82)</x:f>
      </x:c>
      <x:c r="G82" s="19">
        <x:f>IF(A82="","",Journal_Import!G82)</x:f>
      </x:c>
      <x:c r="H82" s="19">
        <x:f>IF(A82="","",Journal_Import!H82)</x:f>
      </x:c>
      <x:c r="I82" s="12">
        <x:f>IF(A82="","",Journal_Import!S82)</x:f>
      </x:c>
      <x:c r="J82" s="12">
        <x:f>IF(A82="","",Journal_Import!T82)</x:f>
      </x:c>
      <x:c r="K82" s="12">
        <x:f>IF(C82="","",IF(C82=C81,K81+I82-J82,IFERROR(INDEX(COA_Master!$N:$N,MATCH(C82,COA_Master!$A:$A,0)),0)+I82-J82))</x:f>
      </x:c>
      <x:c r="L82" s="19">
        <x:f>IF(A82="","",IF(IFERROR(INDEX(COA_Master!$G:$G,MATCH(C82,COA_Master!$A:$A,0)),"Debit")="Debit",IF(K82&gt;=0,"Debit","Credit"),IF(K82&gt;=0,"Credit","Debit")))</x:f>
      </x:c>
      <x:c r="M82" s="19">
        <x:f>IF(A82="","",Journal_Import!V82)</x:f>
      </x:c>
      <x:c r="N82" s="19">
        <x:f>IF(A82="","",Journal_Import!W82)</x:f>
      </x:c>
      <x:c r="O82" s="19">
        <x:f>IF(A82="","",Journal_Import!Z82)</x:f>
      </x:c>
    </x:row>
    <x:row r="83">
      <x:c r="A83" s="18">
        <x:f>IF(Journal_Import!A83="","",Journal_Import!A83)</x:f>
      </x:c>
      <x:c r="B83" s="18">
        <x:f>IF(A83="","",Journal_Import!B83)</x:f>
      </x:c>
      <x:c r="C83" s="18">
        <x:f>IF(A83="","",Journal_Import!I83)</x:f>
      </x:c>
      <x:c r="D83" s="18">
        <x:f>IF(A83="","",Journal_Import!J83)</x:f>
      </x:c>
      <x:c r="E83" s="19">
        <x:f>IF(A83="","",Journal_Import!D83)</x:f>
      </x:c>
      <x:c r="F83" s="19">
        <x:f>IF(A83="","",Journal_Import!F83)</x:f>
      </x:c>
      <x:c r="G83" s="19">
        <x:f>IF(A83="","",Journal_Import!G83)</x:f>
      </x:c>
      <x:c r="H83" s="19">
        <x:f>IF(A83="","",Journal_Import!H83)</x:f>
      </x:c>
      <x:c r="I83" s="12">
        <x:f>IF(A83="","",Journal_Import!S83)</x:f>
      </x:c>
      <x:c r="J83" s="12">
        <x:f>IF(A83="","",Journal_Import!T83)</x:f>
      </x:c>
      <x:c r="K83" s="12">
        <x:f>IF(C83="","",IF(C83=C82,K82+I83-J83,IFERROR(INDEX(COA_Master!$N:$N,MATCH(C83,COA_Master!$A:$A,0)),0)+I83-J83))</x:f>
      </x:c>
      <x:c r="L83" s="19">
        <x:f>IF(A83="","",IF(IFERROR(INDEX(COA_Master!$G:$G,MATCH(C83,COA_Master!$A:$A,0)),"Debit")="Debit",IF(K83&gt;=0,"Debit","Credit"),IF(K83&gt;=0,"Credit","Debit")))</x:f>
      </x:c>
      <x:c r="M83" s="19">
        <x:f>IF(A83="","",Journal_Import!V83)</x:f>
      </x:c>
      <x:c r="N83" s="19">
        <x:f>IF(A83="","",Journal_Import!W83)</x:f>
      </x:c>
      <x:c r="O83" s="19">
        <x:f>IF(A83="","",Journal_Import!Z83)</x:f>
      </x:c>
    </x:row>
    <x:row r="84">
      <x:c r="A84" s="18">
        <x:f>IF(Journal_Import!A84="","",Journal_Import!A84)</x:f>
      </x:c>
      <x:c r="B84" s="18">
        <x:f>IF(A84="","",Journal_Import!B84)</x:f>
      </x:c>
      <x:c r="C84" s="18">
        <x:f>IF(A84="","",Journal_Import!I84)</x:f>
      </x:c>
      <x:c r="D84" s="18">
        <x:f>IF(A84="","",Journal_Import!J84)</x:f>
      </x:c>
      <x:c r="E84" s="19">
        <x:f>IF(A84="","",Journal_Import!D84)</x:f>
      </x:c>
      <x:c r="F84" s="19">
        <x:f>IF(A84="","",Journal_Import!F84)</x:f>
      </x:c>
      <x:c r="G84" s="19">
        <x:f>IF(A84="","",Journal_Import!G84)</x:f>
      </x:c>
      <x:c r="H84" s="19">
        <x:f>IF(A84="","",Journal_Import!H84)</x:f>
      </x:c>
      <x:c r="I84" s="12">
        <x:f>IF(A84="","",Journal_Import!S84)</x:f>
      </x:c>
      <x:c r="J84" s="12">
        <x:f>IF(A84="","",Journal_Import!T84)</x:f>
      </x:c>
      <x:c r="K84" s="12">
        <x:f>IF(C84="","",IF(C84=C83,K83+I84-J84,IFERROR(INDEX(COA_Master!$N:$N,MATCH(C84,COA_Master!$A:$A,0)),0)+I84-J84))</x:f>
      </x:c>
      <x:c r="L84" s="19">
        <x:f>IF(A84="","",IF(IFERROR(INDEX(COA_Master!$G:$G,MATCH(C84,COA_Master!$A:$A,0)),"Debit")="Debit",IF(K84&gt;=0,"Debit","Credit"),IF(K84&gt;=0,"Credit","Debit")))</x:f>
      </x:c>
      <x:c r="M84" s="19">
        <x:f>IF(A84="","",Journal_Import!V84)</x:f>
      </x:c>
      <x:c r="N84" s="19">
        <x:f>IF(A84="","",Journal_Import!W84)</x:f>
      </x:c>
      <x:c r="O84" s="19">
        <x:f>IF(A84="","",Journal_Import!Z84)</x:f>
      </x:c>
    </x:row>
    <x:row r="85">
      <x:c r="A85" s="18">
        <x:f>IF(Journal_Import!A85="","",Journal_Import!A85)</x:f>
      </x:c>
      <x:c r="B85" s="18">
        <x:f>IF(A85="","",Journal_Import!B85)</x:f>
      </x:c>
      <x:c r="C85" s="18">
        <x:f>IF(A85="","",Journal_Import!I85)</x:f>
      </x:c>
      <x:c r="D85" s="18">
        <x:f>IF(A85="","",Journal_Import!J85)</x:f>
      </x:c>
      <x:c r="E85" s="19">
        <x:f>IF(A85="","",Journal_Import!D85)</x:f>
      </x:c>
      <x:c r="F85" s="19">
        <x:f>IF(A85="","",Journal_Import!F85)</x:f>
      </x:c>
      <x:c r="G85" s="19">
        <x:f>IF(A85="","",Journal_Import!G85)</x:f>
      </x:c>
      <x:c r="H85" s="19">
        <x:f>IF(A85="","",Journal_Import!H85)</x:f>
      </x:c>
      <x:c r="I85" s="12">
        <x:f>IF(A85="","",Journal_Import!S85)</x:f>
      </x:c>
      <x:c r="J85" s="12">
        <x:f>IF(A85="","",Journal_Import!T85)</x:f>
      </x:c>
      <x:c r="K85" s="12">
        <x:f>IF(C85="","",IF(C85=C84,K84+I85-J85,IFERROR(INDEX(COA_Master!$N:$N,MATCH(C85,COA_Master!$A:$A,0)),0)+I85-J85))</x:f>
      </x:c>
      <x:c r="L85" s="19">
        <x:f>IF(A85="","",IF(IFERROR(INDEX(COA_Master!$G:$G,MATCH(C85,COA_Master!$A:$A,0)),"Debit")="Debit",IF(K85&gt;=0,"Debit","Credit"),IF(K85&gt;=0,"Credit","Debit")))</x:f>
      </x:c>
      <x:c r="M85" s="19">
        <x:f>IF(A85="","",Journal_Import!V85)</x:f>
      </x:c>
      <x:c r="N85" s="19">
        <x:f>IF(A85="","",Journal_Import!W85)</x:f>
      </x:c>
      <x:c r="O85" s="19">
        <x:f>IF(A85="","",Journal_Import!Z85)</x:f>
      </x:c>
    </x:row>
    <x:row r="86">
      <x:c r="A86" s="18">
        <x:f>IF(Journal_Import!A86="","",Journal_Import!A86)</x:f>
      </x:c>
      <x:c r="B86" s="18">
        <x:f>IF(A86="","",Journal_Import!B86)</x:f>
      </x:c>
      <x:c r="C86" s="18">
        <x:f>IF(A86="","",Journal_Import!I86)</x:f>
      </x:c>
      <x:c r="D86" s="18">
        <x:f>IF(A86="","",Journal_Import!J86)</x:f>
      </x:c>
      <x:c r="E86" s="19">
        <x:f>IF(A86="","",Journal_Import!D86)</x:f>
      </x:c>
      <x:c r="F86" s="19">
        <x:f>IF(A86="","",Journal_Import!F86)</x:f>
      </x:c>
      <x:c r="G86" s="19">
        <x:f>IF(A86="","",Journal_Import!G86)</x:f>
      </x:c>
      <x:c r="H86" s="19">
        <x:f>IF(A86="","",Journal_Import!H86)</x:f>
      </x:c>
      <x:c r="I86" s="12">
        <x:f>IF(A86="","",Journal_Import!S86)</x:f>
      </x:c>
      <x:c r="J86" s="12">
        <x:f>IF(A86="","",Journal_Import!T86)</x:f>
      </x:c>
      <x:c r="K86" s="12">
        <x:f>IF(C86="","",IF(C86=C85,K85+I86-J86,IFERROR(INDEX(COA_Master!$N:$N,MATCH(C86,COA_Master!$A:$A,0)),0)+I86-J86))</x:f>
      </x:c>
      <x:c r="L86" s="19">
        <x:f>IF(A86="","",IF(IFERROR(INDEX(COA_Master!$G:$G,MATCH(C86,COA_Master!$A:$A,0)),"Debit")="Debit",IF(K86&gt;=0,"Debit","Credit"),IF(K86&gt;=0,"Credit","Debit")))</x:f>
      </x:c>
      <x:c r="M86" s="19">
        <x:f>IF(A86="","",Journal_Import!V86)</x:f>
      </x:c>
      <x:c r="N86" s="19">
        <x:f>IF(A86="","",Journal_Import!W86)</x:f>
      </x:c>
      <x:c r="O86" s="19">
        <x:f>IF(A86="","",Journal_Import!Z86)</x:f>
      </x:c>
    </x:row>
    <x:row r="87">
      <x:c r="A87" s="18">
        <x:f>IF(Journal_Import!A87="","",Journal_Import!A87)</x:f>
      </x:c>
      <x:c r="B87" s="18">
        <x:f>IF(A87="","",Journal_Import!B87)</x:f>
      </x:c>
      <x:c r="C87" s="18">
        <x:f>IF(A87="","",Journal_Import!I87)</x:f>
      </x:c>
      <x:c r="D87" s="18">
        <x:f>IF(A87="","",Journal_Import!J87)</x:f>
      </x:c>
      <x:c r="E87" s="19">
        <x:f>IF(A87="","",Journal_Import!D87)</x:f>
      </x:c>
      <x:c r="F87" s="19">
        <x:f>IF(A87="","",Journal_Import!F87)</x:f>
      </x:c>
      <x:c r="G87" s="19">
        <x:f>IF(A87="","",Journal_Import!G87)</x:f>
      </x:c>
      <x:c r="H87" s="19">
        <x:f>IF(A87="","",Journal_Import!H87)</x:f>
      </x:c>
      <x:c r="I87" s="12">
        <x:f>IF(A87="","",Journal_Import!S87)</x:f>
      </x:c>
      <x:c r="J87" s="12">
        <x:f>IF(A87="","",Journal_Import!T87)</x:f>
      </x:c>
      <x:c r="K87" s="12">
        <x:f>IF(C87="","",IF(C87=C86,K86+I87-J87,IFERROR(INDEX(COA_Master!$N:$N,MATCH(C87,COA_Master!$A:$A,0)),0)+I87-J87))</x:f>
      </x:c>
      <x:c r="L87" s="19">
        <x:f>IF(A87="","",IF(IFERROR(INDEX(COA_Master!$G:$G,MATCH(C87,COA_Master!$A:$A,0)),"Debit")="Debit",IF(K87&gt;=0,"Debit","Credit"),IF(K87&gt;=0,"Credit","Debit")))</x:f>
      </x:c>
      <x:c r="M87" s="19">
        <x:f>IF(A87="","",Journal_Import!V87)</x:f>
      </x:c>
      <x:c r="N87" s="19">
        <x:f>IF(A87="","",Journal_Import!W87)</x:f>
      </x:c>
      <x:c r="O87" s="19">
        <x:f>IF(A87="","",Journal_Import!Z87)</x:f>
      </x:c>
    </x:row>
    <x:row r="88">
      <x:c r="A88" s="18">
        <x:f>IF(Journal_Import!A88="","",Journal_Import!A88)</x:f>
      </x:c>
      <x:c r="B88" s="18">
        <x:f>IF(A88="","",Journal_Import!B88)</x:f>
      </x:c>
      <x:c r="C88" s="18">
        <x:f>IF(A88="","",Journal_Import!I88)</x:f>
      </x:c>
      <x:c r="D88" s="18">
        <x:f>IF(A88="","",Journal_Import!J88)</x:f>
      </x:c>
      <x:c r="E88" s="19">
        <x:f>IF(A88="","",Journal_Import!D88)</x:f>
      </x:c>
      <x:c r="F88" s="19">
        <x:f>IF(A88="","",Journal_Import!F88)</x:f>
      </x:c>
      <x:c r="G88" s="19">
        <x:f>IF(A88="","",Journal_Import!G88)</x:f>
      </x:c>
      <x:c r="H88" s="19">
        <x:f>IF(A88="","",Journal_Import!H88)</x:f>
      </x:c>
      <x:c r="I88" s="12">
        <x:f>IF(A88="","",Journal_Import!S88)</x:f>
      </x:c>
      <x:c r="J88" s="12">
        <x:f>IF(A88="","",Journal_Import!T88)</x:f>
      </x:c>
      <x:c r="K88" s="12">
        <x:f>IF(C88="","",IF(C88=C87,K87+I88-J88,IFERROR(INDEX(COA_Master!$N:$N,MATCH(C88,COA_Master!$A:$A,0)),0)+I88-J88))</x:f>
      </x:c>
      <x:c r="L88" s="19">
        <x:f>IF(A88="","",IF(IFERROR(INDEX(COA_Master!$G:$G,MATCH(C88,COA_Master!$A:$A,0)),"Debit")="Debit",IF(K88&gt;=0,"Debit","Credit"),IF(K88&gt;=0,"Credit","Debit")))</x:f>
      </x:c>
      <x:c r="M88" s="19">
        <x:f>IF(A88="","",Journal_Import!V88)</x:f>
      </x:c>
      <x:c r="N88" s="19">
        <x:f>IF(A88="","",Journal_Import!W88)</x:f>
      </x:c>
      <x:c r="O88" s="19">
        <x:f>IF(A88="","",Journal_Import!Z88)</x:f>
      </x:c>
    </x:row>
    <x:row r="89">
      <x:c r="A89" s="18">
        <x:f>IF(Journal_Import!A89="","",Journal_Import!A89)</x:f>
      </x:c>
      <x:c r="B89" s="18">
        <x:f>IF(A89="","",Journal_Import!B89)</x:f>
      </x:c>
      <x:c r="C89" s="18">
        <x:f>IF(A89="","",Journal_Import!I89)</x:f>
      </x:c>
      <x:c r="D89" s="18">
        <x:f>IF(A89="","",Journal_Import!J89)</x:f>
      </x:c>
      <x:c r="E89" s="19">
        <x:f>IF(A89="","",Journal_Import!D89)</x:f>
      </x:c>
      <x:c r="F89" s="19">
        <x:f>IF(A89="","",Journal_Import!F89)</x:f>
      </x:c>
      <x:c r="G89" s="19">
        <x:f>IF(A89="","",Journal_Import!G89)</x:f>
      </x:c>
      <x:c r="H89" s="19">
        <x:f>IF(A89="","",Journal_Import!H89)</x:f>
      </x:c>
      <x:c r="I89" s="12">
        <x:f>IF(A89="","",Journal_Import!S89)</x:f>
      </x:c>
      <x:c r="J89" s="12">
        <x:f>IF(A89="","",Journal_Import!T89)</x:f>
      </x:c>
      <x:c r="K89" s="12">
        <x:f>IF(C89="","",IF(C89=C88,K88+I89-J89,IFERROR(INDEX(COA_Master!$N:$N,MATCH(C89,COA_Master!$A:$A,0)),0)+I89-J89))</x:f>
      </x:c>
      <x:c r="L89" s="19">
        <x:f>IF(A89="","",IF(IFERROR(INDEX(COA_Master!$G:$G,MATCH(C89,COA_Master!$A:$A,0)),"Debit")="Debit",IF(K89&gt;=0,"Debit","Credit"),IF(K89&gt;=0,"Credit","Debit")))</x:f>
      </x:c>
      <x:c r="M89" s="19">
        <x:f>IF(A89="","",Journal_Import!V89)</x:f>
      </x:c>
      <x:c r="N89" s="19">
        <x:f>IF(A89="","",Journal_Import!W89)</x:f>
      </x:c>
      <x:c r="O89" s="19">
        <x:f>IF(A89="","",Journal_Import!Z89)</x:f>
      </x:c>
    </x:row>
    <x:row r="90">
      <x:c r="A90" s="18">
        <x:f>IF(Journal_Import!A90="","",Journal_Import!A90)</x:f>
      </x:c>
      <x:c r="B90" s="18">
        <x:f>IF(A90="","",Journal_Import!B90)</x:f>
      </x:c>
      <x:c r="C90" s="18">
        <x:f>IF(A90="","",Journal_Import!I90)</x:f>
      </x:c>
      <x:c r="D90" s="18">
        <x:f>IF(A90="","",Journal_Import!J90)</x:f>
      </x:c>
      <x:c r="E90" s="19">
        <x:f>IF(A90="","",Journal_Import!D90)</x:f>
      </x:c>
      <x:c r="F90" s="19">
        <x:f>IF(A90="","",Journal_Import!F90)</x:f>
      </x:c>
      <x:c r="G90" s="19">
        <x:f>IF(A90="","",Journal_Import!G90)</x:f>
      </x:c>
      <x:c r="H90" s="19">
        <x:f>IF(A90="","",Journal_Import!H90)</x:f>
      </x:c>
      <x:c r="I90" s="12">
        <x:f>IF(A90="","",Journal_Import!S90)</x:f>
      </x:c>
      <x:c r="J90" s="12">
        <x:f>IF(A90="","",Journal_Import!T90)</x:f>
      </x:c>
      <x:c r="K90" s="12">
        <x:f>IF(C90="","",IF(C90=C89,K89+I90-J90,IFERROR(INDEX(COA_Master!$N:$N,MATCH(C90,COA_Master!$A:$A,0)),0)+I90-J90))</x:f>
      </x:c>
      <x:c r="L90" s="19">
        <x:f>IF(A90="","",IF(IFERROR(INDEX(COA_Master!$G:$G,MATCH(C90,COA_Master!$A:$A,0)),"Debit")="Debit",IF(K90&gt;=0,"Debit","Credit"),IF(K90&gt;=0,"Credit","Debit")))</x:f>
      </x:c>
      <x:c r="M90" s="19">
        <x:f>IF(A90="","",Journal_Import!V90)</x:f>
      </x:c>
      <x:c r="N90" s="19">
        <x:f>IF(A90="","",Journal_Import!W90)</x:f>
      </x:c>
      <x:c r="O90" s="19">
        <x:f>IF(A90="","",Journal_Import!Z90)</x:f>
      </x:c>
    </x:row>
    <x:row r="91">
      <x:c r="A91" s="18">
        <x:f>IF(Journal_Import!A91="","",Journal_Import!A91)</x:f>
      </x:c>
      <x:c r="B91" s="18">
        <x:f>IF(A91="","",Journal_Import!B91)</x:f>
      </x:c>
      <x:c r="C91" s="18">
        <x:f>IF(A91="","",Journal_Import!I91)</x:f>
      </x:c>
      <x:c r="D91" s="18">
        <x:f>IF(A91="","",Journal_Import!J91)</x:f>
      </x:c>
      <x:c r="E91" s="19">
        <x:f>IF(A91="","",Journal_Import!D91)</x:f>
      </x:c>
      <x:c r="F91" s="19">
        <x:f>IF(A91="","",Journal_Import!F91)</x:f>
      </x:c>
      <x:c r="G91" s="19">
        <x:f>IF(A91="","",Journal_Import!G91)</x:f>
      </x:c>
      <x:c r="H91" s="19">
        <x:f>IF(A91="","",Journal_Import!H91)</x:f>
      </x:c>
      <x:c r="I91" s="12">
        <x:f>IF(A91="","",Journal_Import!S91)</x:f>
      </x:c>
      <x:c r="J91" s="12">
        <x:f>IF(A91="","",Journal_Import!T91)</x:f>
      </x:c>
      <x:c r="K91" s="12">
        <x:f>IF(C91="","",IF(C91=C90,K90+I91-J91,IFERROR(INDEX(COA_Master!$N:$N,MATCH(C91,COA_Master!$A:$A,0)),0)+I91-J91))</x:f>
      </x:c>
      <x:c r="L91" s="19">
        <x:f>IF(A91="","",IF(IFERROR(INDEX(COA_Master!$G:$G,MATCH(C91,COA_Master!$A:$A,0)),"Debit")="Debit",IF(K91&gt;=0,"Debit","Credit"),IF(K91&gt;=0,"Credit","Debit")))</x:f>
      </x:c>
      <x:c r="M91" s="19">
        <x:f>IF(A91="","",Journal_Import!V91)</x:f>
      </x:c>
      <x:c r="N91" s="19">
        <x:f>IF(A91="","",Journal_Import!W91)</x:f>
      </x:c>
      <x:c r="O91" s="19">
        <x:f>IF(A91="","",Journal_Import!Z91)</x:f>
      </x:c>
    </x:row>
    <x:row r="92">
      <x:c r="A92" s="18">
        <x:f>IF(Journal_Import!A92="","",Journal_Import!A92)</x:f>
      </x:c>
      <x:c r="B92" s="18">
        <x:f>IF(A92="","",Journal_Import!B92)</x:f>
      </x:c>
      <x:c r="C92" s="18">
        <x:f>IF(A92="","",Journal_Import!I92)</x:f>
      </x:c>
      <x:c r="D92" s="18">
        <x:f>IF(A92="","",Journal_Import!J92)</x:f>
      </x:c>
      <x:c r="E92" s="19">
        <x:f>IF(A92="","",Journal_Import!D92)</x:f>
      </x:c>
      <x:c r="F92" s="19">
        <x:f>IF(A92="","",Journal_Import!F92)</x:f>
      </x:c>
      <x:c r="G92" s="19">
        <x:f>IF(A92="","",Journal_Import!G92)</x:f>
      </x:c>
      <x:c r="H92" s="19">
        <x:f>IF(A92="","",Journal_Import!H92)</x:f>
      </x:c>
      <x:c r="I92" s="12">
        <x:f>IF(A92="","",Journal_Import!S92)</x:f>
      </x:c>
      <x:c r="J92" s="12">
        <x:f>IF(A92="","",Journal_Import!T92)</x:f>
      </x:c>
      <x:c r="K92" s="12">
        <x:f>IF(C92="","",IF(C92=C91,K91+I92-J92,IFERROR(INDEX(COA_Master!$N:$N,MATCH(C92,COA_Master!$A:$A,0)),0)+I92-J92))</x:f>
      </x:c>
      <x:c r="L92" s="19">
        <x:f>IF(A92="","",IF(IFERROR(INDEX(COA_Master!$G:$G,MATCH(C92,COA_Master!$A:$A,0)),"Debit")="Debit",IF(K92&gt;=0,"Debit","Credit"),IF(K92&gt;=0,"Credit","Debit")))</x:f>
      </x:c>
      <x:c r="M92" s="19">
        <x:f>IF(A92="","",Journal_Import!V92)</x:f>
      </x:c>
      <x:c r="N92" s="19">
        <x:f>IF(A92="","",Journal_Import!W92)</x:f>
      </x:c>
      <x:c r="O92" s="19">
        <x:f>IF(A92="","",Journal_Import!Z92)</x:f>
      </x:c>
    </x:row>
    <x:row r="93">
      <x:c r="A93" s="18">
        <x:f>IF(Journal_Import!A93="","",Journal_Import!A93)</x:f>
      </x:c>
      <x:c r="B93" s="18">
        <x:f>IF(A93="","",Journal_Import!B93)</x:f>
      </x:c>
      <x:c r="C93" s="18">
        <x:f>IF(A93="","",Journal_Import!I93)</x:f>
      </x:c>
      <x:c r="D93" s="18">
        <x:f>IF(A93="","",Journal_Import!J93)</x:f>
      </x:c>
      <x:c r="E93" s="19">
        <x:f>IF(A93="","",Journal_Import!D93)</x:f>
      </x:c>
      <x:c r="F93" s="19">
        <x:f>IF(A93="","",Journal_Import!F93)</x:f>
      </x:c>
      <x:c r="G93" s="19">
        <x:f>IF(A93="","",Journal_Import!G93)</x:f>
      </x:c>
      <x:c r="H93" s="19">
        <x:f>IF(A93="","",Journal_Import!H93)</x:f>
      </x:c>
      <x:c r="I93" s="12">
        <x:f>IF(A93="","",Journal_Import!S93)</x:f>
      </x:c>
      <x:c r="J93" s="12">
        <x:f>IF(A93="","",Journal_Import!T93)</x:f>
      </x:c>
      <x:c r="K93" s="12">
        <x:f>IF(C93="","",IF(C93=C92,K92+I93-J93,IFERROR(INDEX(COA_Master!$N:$N,MATCH(C93,COA_Master!$A:$A,0)),0)+I93-J93))</x:f>
      </x:c>
      <x:c r="L93" s="19">
        <x:f>IF(A93="","",IF(IFERROR(INDEX(COA_Master!$G:$G,MATCH(C93,COA_Master!$A:$A,0)),"Debit")="Debit",IF(K93&gt;=0,"Debit","Credit"),IF(K93&gt;=0,"Credit","Debit")))</x:f>
      </x:c>
      <x:c r="M93" s="19">
        <x:f>IF(A93="","",Journal_Import!V93)</x:f>
      </x:c>
      <x:c r="N93" s="19">
        <x:f>IF(A93="","",Journal_Import!W93)</x:f>
      </x:c>
      <x:c r="O93" s="19">
        <x:f>IF(A93="","",Journal_Import!Z93)</x:f>
      </x:c>
    </x:row>
    <x:row r="94">
      <x:c r="A94" s="18">
        <x:f>IF(Journal_Import!A94="","",Journal_Import!A94)</x:f>
      </x:c>
      <x:c r="B94" s="18">
        <x:f>IF(A94="","",Journal_Import!B94)</x:f>
      </x:c>
      <x:c r="C94" s="18">
        <x:f>IF(A94="","",Journal_Import!I94)</x:f>
      </x:c>
      <x:c r="D94" s="18">
        <x:f>IF(A94="","",Journal_Import!J94)</x:f>
      </x:c>
      <x:c r="E94" s="19">
        <x:f>IF(A94="","",Journal_Import!D94)</x:f>
      </x:c>
      <x:c r="F94" s="19">
        <x:f>IF(A94="","",Journal_Import!F94)</x:f>
      </x:c>
      <x:c r="G94" s="19">
        <x:f>IF(A94="","",Journal_Import!G94)</x:f>
      </x:c>
      <x:c r="H94" s="19">
        <x:f>IF(A94="","",Journal_Import!H94)</x:f>
      </x:c>
      <x:c r="I94" s="12">
        <x:f>IF(A94="","",Journal_Import!S94)</x:f>
      </x:c>
      <x:c r="J94" s="12">
        <x:f>IF(A94="","",Journal_Import!T94)</x:f>
      </x:c>
      <x:c r="K94" s="12">
        <x:f>IF(C94="","",IF(C94=C93,K93+I94-J94,IFERROR(INDEX(COA_Master!$N:$N,MATCH(C94,COA_Master!$A:$A,0)),0)+I94-J94))</x:f>
      </x:c>
      <x:c r="L94" s="19">
        <x:f>IF(A94="","",IF(IFERROR(INDEX(COA_Master!$G:$G,MATCH(C94,COA_Master!$A:$A,0)),"Debit")="Debit",IF(K94&gt;=0,"Debit","Credit"),IF(K94&gt;=0,"Credit","Debit")))</x:f>
      </x:c>
      <x:c r="M94" s="19">
        <x:f>IF(A94="","",Journal_Import!V94)</x:f>
      </x:c>
      <x:c r="N94" s="19">
        <x:f>IF(A94="","",Journal_Import!W94)</x:f>
      </x:c>
      <x:c r="O94" s="19">
        <x:f>IF(A94="","",Journal_Import!Z94)</x:f>
      </x:c>
    </x:row>
    <x:row r="95">
      <x:c r="A95" s="18">
        <x:f>IF(Journal_Import!A95="","",Journal_Import!A95)</x:f>
      </x:c>
      <x:c r="B95" s="18">
        <x:f>IF(A95="","",Journal_Import!B95)</x:f>
      </x:c>
      <x:c r="C95" s="18">
        <x:f>IF(A95="","",Journal_Import!I95)</x:f>
      </x:c>
      <x:c r="D95" s="18">
        <x:f>IF(A95="","",Journal_Import!J95)</x:f>
      </x:c>
      <x:c r="E95" s="19">
        <x:f>IF(A95="","",Journal_Import!D95)</x:f>
      </x:c>
      <x:c r="F95" s="19">
        <x:f>IF(A95="","",Journal_Import!F95)</x:f>
      </x:c>
      <x:c r="G95" s="19">
        <x:f>IF(A95="","",Journal_Import!G95)</x:f>
      </x:c>
      <x:c r="H95" s="19">
        <x:f>IF(A95="","",Journal_Import!H95)</x:f>
      </x:c>
      <x:c r="I95" s="12">
        <x:f>IF(A95="","",Journal_Import!S95)</x:f>
      </x:c>
      <x:c r="J95" s="12">
        <x:f>IF(A95="","",Journal_Import!T95)</x:f>
      </x:c>
      <x:c r="K95" s="12">
        <x:f>IF(C95="","",IF(C95=C94,K94+I95-J95,IFERROR(INDEX(COA_Master!$N:$N,MATCH(C95,COA_Master!$A:$A,0)),0)+I95-J95))</x:f>
      </x:c>
      <x:c r="L95" s="19">
        <x:f>IF(A95="","",IF(IFERROR(INDEX(COA_Master!$G:$G,MATCH(C95,COA_Master!$A:$A,0)),"Debit")="Debit",IF(K95&gt;=0,"Debit","Credit"),IF(K95&gt;=0,"Credit","Debit")))</x:f>
      </x:c>
      <x:c r="M95" s="19">
        <x:f>IF(A95="","",Journal_Import!V95)</x:f>
      </x:c>
      <x:c r="N95" s="19">
        <x:f>IF(A95="","",Journal_Import!W95)</x:f>
      </x:c>
      <x:c r="O95" s="19">
        <x:f>IF(A95="","",Journal_Import!Z95)</x:f>
      </x:c>
    </x:row>
    <x:row r="96">
      <x:c r="A96" s="18">
        <x:f>IF(Journal_Import!A96="","",Journal_Import!A96)</x:f>
      </x:c>
      <x:c r="B96" s="18">
        <x:f>IF(A96="","",Journal_Import!B96)</x:f>
      </x:c>
      <x:c r="C96" s="18">
        <x:f>IF(A96="","",Journal_Import!I96)</x:f>
      </x:c>
      <x:c r="D96" s="18">
        <x:f>IF(A96="","",Journal_Import!J96)</x:f>
      </x:c>
      <x:c r="E96" s="19">
        <x:f>IF(A96="","",Journal_Import!D96)</x:f>
      </x:c>
      <x:c r="F96" s="19">
        <x:f>IF(A96="","",Journal_Import!F96)</x:f>
      </x:c>
      <x:c r="G96" s="19">
        <x:f>IF(A96="","",Journal_Import!G96)</x:f>
      </x:c>
      <x:c r="H96" s="19">
        <x:f>IF(A96="","",Journal_Import!H96)</x:f>
      </x:c>
      <x:c r="I96" s="12">
        <x:f>IF(A96="","",Journal_Import!S96)</x:f>
      </x:c>
      <x:c r="J96" s="12">
        <x:f>IF(A96="","",Journal_Import!T96)</x:f>
      </x:c>
      <x:c r="K96" s="12">
        <x:f>IF(C96="","",IF(C96=C95,K95+I96-J96,IFERROR(INDEX(COA_Master!$N:$N,MATCH(C96,COA_Master!$A:$A,0)),0)+I96-J96))</x:f>
      </x:c>
      <x:c r="L96" s="19">
        <x:f>IF(A96="","",IF(IFERROR(INDEX(COA_Master!$G:$G,MATCH(C96,COA_Master!$A:$A,0)),"Debit")="Debit",IF(K96&gt;=0,"Debit","Credit"),IF(K96&gt;=0,"Credit","Debit")))</x:f>
      </x:c>
      <x:c r="M96" s="19">
        <x:f>IF(A96="","",Journal_Import!V96)</x:f>
      </x:c>
      <x:c r="N96" s="19">
        <x:f>IF(A96="","",Journal_Import!W96)</x:f>
      </x:c>
      <x:c r="O96" s="19">
        <x:f>IF(A96="","",Journal_Import!Z96)</x:f>
      </x:c>
    </x:row>
    <x:row r="97">
      <x:c r="A97" s="18">
        <x:f>IF(Journal_Import!A97="","",Journal_Import!A97)</x:f>
      </x:c>
      <x:c r="B97" s="18">
        <x:f>IF(A97="","",Journal_Import!B97)</x:f>
      </x:c>
      <x:c r="C97" s="18">
        <x:f>IF(A97="","",Journal_Import!I97)</x:f>
      </x:c>
      <x:c r="D97" s="18">
        <x:f>IF(A97="","",Journal_Import!J97)</x:f>
      </x:c>
      <x:c r="E97" s="19">
        <x:f>IF(A97="","",Journal_Import!D97)</x:f>
      </x:c>
      <x:c r="F97" s="19">
        <x:f>IF(A97="","",Journal_Import!F97)</x:f>
      </x:c>
      <x:c r="G97" s="19">
        <x:f>IF(A97="","",Journal_Import!G97)</x:f>
      </x:c>
      <x:c r="H97" s="19">
        <x:f>IF(A97="","",Journal_Import!H97)</x:f>
      </x:c>
      <x:c r="I97" s="12">
        <x:f>IF(A97="","",Journal_Import!S97)</x:f>
      </x:c>
      <x:c r="J97" s="12">
        <x:f>IF(A97="","",Journal_Import!T97)</x:f>
      </x:c>
      <x:c r="K97" s="12">
        <x:f>IF(C97="","",IF(C97=C96,K96+I97-J97,IFERROR(INDEX(COA_Master!$N:$N,MATCH(C97,COA_Master!$A:$A,0)),0)+I97-J97))</x:f>
      </x:c>
      <x:c r="L97" s="19">
        <x:f>IF(A97="","",IF(IFERROR(INDEX(COA_Master!$G:$G,MATCH(C97,COA_Master!$A:$A,0)),"Debit")="Debit",IF(K97&gt;=0,"Debit","Credit"),IF(K97&gt;=0,"Credit","Debit")))</x:f>
      </x:c>
      <x:c r="M97" s="19">
        <x:f>IF(A97="","",Journal_Import!V97)</x:f>
      </x:c>
      <x:c r="N97" s="19">
        <x:f>IF(A97="","",Journal_Import!W97)</x:f>
      </x:c>
      <x:c r="O97" s="19">
        <x:f>IF(A97="","",Journal_Import!Z97)</x:f>
      </x:c>
    </x:row>
    <x:row r="98">
      <x:c r="A98" s="18">
        <x:f>IF(Journal_Import!A98="","",Journal_Import!A98)</x:f>
      </x:c>
      <x:c r="B98" s="18">
        <x:f>IF(A98="","",Journal_Import!B98)</x:f>
      </x:c>
      <x:c r="C98" s="18">
        <x:f>IF(A98="","",Journal_Import!I98)</x:f>
      </x:c>
      <x:c r="D98" s="18">
        <x:f>IF(A98="","",Journal_Import!J98)</x:f>
      </x:c>
      <x:c r="E98" s="19">
        <x:f>IF(A98="","",Journal_Import!D98)</x:f>
      </x:c>
      <x:c r="F98" s="19">
        <x:f>IF(A98="","",Journal_Import!F98)</x:f>
      </x:c>
      <x:c r="G98" s="19">
        <x:f>IF(A98="","",Journal_Import!G98)</x:f>
      </x:c>
      <x:c r="H98" s="19">
        <x:f>IF(A98="","",Journal_Import!H98)</x:f>
      </x:c>
      <x:c r="I98" s="12">
        <x:f>IF(A98="","",Journal_Import!S98)</x:f>
      </x:c>
      <x:c r="J98" s="12">
        <x:f>IF(A98="","",Journal_Import!T98)</x:f>
      </x:c>
      <x:c r="K98" s="12">
        <x:f>IF(C98="","",IF(C98=C97,K97+I98-J98,IFERROR(INDEX(COA_Master!$N:$N,MATCH(C98,COA_Master!$A:$A,0)),0)+I98-J98))</x:f>
      </x:c>
      <x:c r="L98" s="19">
        <x:f>IF(A98="","",IF(IFERROR(INDEX(COA_Master!$G:$G,MATCH(C98,COA_Master!$A:$A,0)),"Debit")="Debit",IF(K98&gt;=0,"Debit","Credit"),IF(K98&gt;=0,"Credit","Debit")))</x:f>
      </x:c>
      <x:c r="M98" s="19">
        <x:f>IF(A98="","",Journal_Import!V98)</x:f>
      </x:c>
      <x:c r="N98" s="19">
        <x:f>IF(A98="","",Journal_Import!W98)</x:f>
      </x:c>
      <x:c r="O98" s="19">
        <x:f>IF(A98="","",Journal_Import!Z98)</x:f>
      </x:c>
    </x:row>
    <x:row r="99">
      <x:c r="A99" s="18">
        <x:f>IF(Journal_Import!A99="","",Journal_Import!A99)</x:f>
      </x:c>
      <x:c r="B99" s="18">
        <x:f>IF(A99="","",Journal_Import!B99)</x:f>
      </x:c>
      <x:c r="C99" s="18">
        <x:f>IF(A99="","",Journal_Import!I99)</x:f>
      </x:c>
      <x:c r="D99" s="18">
        <x:f>IF(A99="","",Journal_Import!J99)</x:f>
      </x:c>
      <x:c r="E99" s="19">
        <x:f>IF(A99="","",Journal_Import!D99)</x:f>
      </x:c>
      <x:c r="F99" s="19">
        <x:f>IF(A99="","",Journal_Import!F99)</x:f>
      </x:c>
      <x:c r="G99" s="19">
        <x:f>IF(A99="","",Journal_Import!G99)</x:f>
      </x:c>
      <x:c r="H99" s="19">
        <x:f>IF(A99="","",Journal_Import!H99)</x:f>
      </x:c>
      <x:c r="I99" s="12">
        <x:f>IF(A99="","",Journal_Import!S99)</x:f>
      </x:c>
      <x:c r="J99" s="12">
        <x:f>IF(A99="","",Journal_Import!T99)</x:f>
      </x:c>
      <x:c r="K99" s="12">
        <x:f>IF(C99="","",IF(C99=C98,K98+I99-J99,IFERROR(INDEX(COA_Master!$N:$N,MATCH(C99,COA_Master!$A:$A,0)),0)+I99-J99))</x:f>
      </x:c>
      <x:c r="L99" s="19">
        <x:f>IF(A99="","",IF(IFERROR(INDEX(COA_Master!$G:$G,MATCH(C99,COA_Master!$A:$A,0)),"Debit")="Debit",IF(K99&gt;=0,"Debit","Credit"),IF(K99&gt;=0,"Credit","Debit")))</x:f>
      </x:c>
      <x:c r="M99" s="19">
        <x:f>IF(A99="","",Journal_Import!V99)</x:f>
      </x:c>
      <x:c r="N99" s="19">
        <x:f>IF(A99="","",Journal_Import!W99)</x:f>
      </x:c>
      <x:c r="O99" s="19">
        <x:f>IF(A99="","",Journal_Import!Z99)</x:f>
      </x:c>
    </x:row>
    <x:row r="100">
      <x:c r="A100" s="18">
        <x:f>IF(Journal_Import!A100="","",Journal_Import!A100)</x:f>
      </x:c>
      <x:c r="B100" s="18">
        <x:f>IF(A100="","",Journal_Import!B100)</x:f>
      </x:c>
      <x:c r="C100" s="18">
        <x:f>IF(A100="","",Journal_Import!I100)</x:f>
      </x:c>
      <x:c r="D100" s="18">
        <x:f>IF(A100="","",Journal_Import!J100)</x:f>
      </x:c>
      <x:c r="E100" s="19">
        <x:f>IF(A100="","",Journal_Import!D100)</x:f>
      </x:c>
      <x:c r="F100" s="19">
        <x:f>IF(A100="","",Journal_Import!F100)</x:f>
      </x:c>
      <x:c r="G100" s="19">
        <x:f>IF(A100="","",Journal_Import!G100)</x:f>
      </x:c>
      <x:c r="H100" s="19">
        <x:f>IF(A100="","",Journal_Import!H100)</x:f>
      </x:c>
      <x:c r="I100" s="12">
        <x:f>IF(A100="","",Journal_Import!S100)</x:f>
      </x:c>
      <x:c r="J100" s="12">
        <x:f>IF(A100="","",Journal_Import!T100)</x:f>
      </x:c>
      <x:c r="K100" s="12">
        <x:f>IF(C100="","",IF(C100=C99,K99+I100-J100,IFERROR(INDEX(COA_Master!$N:$N,MATCH(C100,COA_Master!$A:$A,0)),0)+I100-J100))</x:f>
      </x:c>
      <x:c r="L100" s="19">
        <x:f>IF(A100="","",IF(IFERROR(INDEX(COA_Master!$G:$G,MATCH(C100,COA_Master!$A:$A,0)),"Debit")="Debit",IF(K100&gt;=0,"Debit","Credit"),IF(K100&gt;=0,"Credit","Debit")))</x:f>
      </x:c>
      <x:c r="M100" s="19">
        <x:f>IF(A100="","",Journal_Import!V100)</x:f>
      </x:c>
      <x:c r="N100" s="19">
        <x:f>IF(A100="","",Journal_Import!W100)</x:f>
      </x:c>
      <x:c r="O100" s="19">
        <x:f>IF(A100="","",Journal_Import!Z100)</x:f>
      </x:c>
    </x:row>
    <x:row r="101">
      <x:c r="A101" s="18">
        <x:f>IF(Journal_Import!A101="","",Journal_Import!A101)</x:f>
      </x:c>
      <x:c r="B101" s="18">
        <x:f>IF(A101="","",Journal_Import!B101)</x:f>
      </x:c>
      <x:c r="C101" s="18">
        <x:f>IF(A101="","",Journal_Import!I101)</x:f>
      </x:c>
      <x:c r="D101" s="18">
        <x:f>IF(A101="","",Journal_Import!J101)</x:f>
      </x:c>
      <x:c r="E101" s="19">
        <x:f>IF(A101="","",Journal_Import!D101)</x:f>
      </x:c>
      <x:c r="F101" s="19">
        <x:f>IF(A101="","",Journal_Import!F101)</x:f>
      </x:c>
      <x:c r="G101" s="19">
        <x:f>IF(A101="","",Journal_Import!G101)</x:f>
      </x:c>
      <x:c r="H101" s="19">
        <x:f>IF(A101="","",Journal_Import!H101)</x:f>
      </x:c>
      <x:c r="I101" s="12">
        <x:f>IF(A101="","",Journal_Import!S101)</x:f>
      </x:c>
      <x:c r="J101" s="12">
        <x:f>IF(A101="","",Journal_Import!T101)</x:f>
      </x:c>
      <x:c r="K101" s="12">
        <x:f>IF(C101="","",IF(C101=C100,K100+I101-J101,IFERROR(INDEX(COA_Master!$N:$N,MATCH(C101,COA_Master!$A:$A,0)),0)+I101-J101))</x:f>
      </x:c>
      <x:c r="L101" s="19">
        <x:f>IF(A101="","",IF(IFERROR(INDEX(COA_Master!$G:$G,MATCH(C101,COA_Master!$A:$A,0)),"Debit")="Debit",IF(K101&gt;=0,"Debit","Credit"),IF(K101&gt;=0,"Credit","Debit")))</x:f>
      </x:c>
      <x:c r="M101" s="19">
        <x:f>IF(A101="","",Journal_Import!V101)</x:f>
      </x:c>
      <x:c r="N101" s="19">
        <x:f>IF(A101="","",Journal_Import!W101)</x:f>
      </x:c>
      <x:c r="O101" s="19">
        <x:f>IF(A101="","",Journal_Import!Z101)</x:f>
      </x:c>
    </x:row>
    <x:row r="102">
      <x:c r="A102" s="18">
        <x:f>IF(Journal_Import!A102="","",Journal_Import!A102)</x:f>
      </x:c>
      <x:c r="B102" s="18">
        <x:f>IF(A102="","",Journal_Import!B102)</x:f>
      </x:c>
      <x:c r="C102" s="18">
        <x:f>IF(A102="","",Journal_Import!I102)</x:f>
      </x:c>
      <x:c r="D102" s="18">
        <x:f>IF(A102="","",Journal_Import!J102)</x:f>
      </x:c>
      <x:c r="E102" s="19">
        <x:f>IF(A102="","",Journal_Import!D102)</x:f>
      </x:c>
      <x:c r="F102" s="19">
        <x:f>IF(A102="","",Journal_Import!F102)</x:f>
      </x:c>
      <x:c r="G102" s="19">
        <x:f>IF(A102="","",Journal_Import!G102)</x:f>
      </x:c>
      <x:c r="H102" s="19">
        <x:f>IF(A102="","",Journal_Import!H102)</x:f>
      </x:c>
      <x:c r="I102" s="12">
        <x:f>IF(A102="","",Journal_Import!S102)</x:f>
      </x:c>
      <x:c r="J102" s="12">
        <x:f>IF(A102="","",Journal_Import!T102)</x:f>
      </x:c>
      <x:c r="K102" s="12">
        <x:f>IF(C102="","",IF(C102=C101,K101+I102-J102,IFERROR(INDEX(COA_Master!$N:$N,MATCH(C102,COA_Master!$A:$A,0)),0)+I102-J102))</x:f>
      </x:c>
      <x:c r="L102" s="19">
        <x:f>IF(A102="","",IF(IFERROR(INDEX(COA_Master!$G:$G,MATCH(C102,COA_Master!$A:$A,0)),"Debit")="Debit",IF(K102&gt;=0,"Debit","Credit"),IF(K102&gt;=0,"Credit","Debit")))</x:f>
      </x:c>
      <x:c r="M102" s="19">
        <x:f>IF(A102="","",Journal_Import!V102)</x:f>
      </x:c>
      <x:c r="N102" s="19">
        <x:f>IF(A102="","",Journal_Import!W102)</x:f>
      </x:c>
      <x:c r="O102" s="19">
        <x:f>IF(A102="","",Journal_Import!Z102)</x:f>
      </x:c>
    </x:row>
    <x:row r="103">
      <x:c r="A103" s="18">
        <x:f>IF(Journal_Import!A103="","",Journal_Import!A103)</x:f>
      </x:c>
      <x:c r="B103" s="18">
        <x:f>IF(A103="","",Journal_Import!B103)</x:f>
      </x:c>
      <x:c r="C103" s="18">
        <x:f>IF(A103="","",Journal_Import!I103)</x:f>
      </x:c>
      <x:c r="D103" s="18">
        <x:f>IF(A103="","",Journal_Import!J103)</x:f>
      </x:c>
      <x:c r="E103" s="19">
        <x:f>IF(A103="","",Journal_Import!D103)</x:f>
      </x:c>
      <x:c r="F103" s="19">
        <x:f>IF(A103="","",Journal_Import!F103)</x:f>
      </x:c>
      <x:c r="G103" s="19">
        <x:f>IF(A103="","",Journal_Import!G103)</x:f>
      </x:c>
      <x:c r="H103" s="19">
        <x:f>IF(A103="","",Journal_Import!H103)</x:f>
      </x:c>
      <x:c r="I103" s="12">
        <x:f>IF(A103="","",Journal_Import!S103)</x:f>
      </x:c>
      <x:c r="J103" s="12">
        <x:f>IF(A103="","",Journal_Import!T103)</x:f>
      </x:c>
      <x:c r="K103" s="12">
        <x:f>IF(C103="","",IF(C103=C102,K102+I103-J103,IFERROR(INDEX(COA_Master!$N:$N,MATCH(C103,COA_Master!$A:$A,0)),0)+I103-J103))</x:f>
      </x:c>
      <x:c r="L103" s="19">
        <x:f>IF(A103="","",IF(IFERROR(INDEX(COA_Master!$G:$G,MATCH(C103,COA_Master!$A:$A,0)),"Debit")="Debit",IF(K103&gt;=0,"Debit","Credit"),IF(K103&gt;=0,"Credit","Debit")))</x:f>
      </x:c>
      <x:c r="M103" s="19">
        <x:f>IF(A103="","",Journal_Import!V103)</x:f>
      </x:c>
      <x:c r="N103" s="19">
        <x:f>IF(A103="","",Journal_Import!W103)</x:f>
      </x:c>
      <x:c r="O103" s="19">
        <x:f>IF(A103="","",Journal_Import!Z103)</x:f>
      </x:c>
    </x:row>
    <x:row r="104">
      <x:c r="A104" s="18">
        <x:f>IF(Journal_Import!A104="","",Journal_Import!A104)</x:f>
      </x:c>
      <x:c r="B104" s="18">
        <x:f>IF(A104="","",Journal_Import!B104)</x:f>
      </x:c>
      <x:c r="C104" s="18">
        <x:f>IF(A104="","",Journal_Import!I104)</x:f>
      </x:c>
      <x:c r="D104" s="18">
        <x:f>IF(A104="","",Journal_Import!J104)</x:f>
      </x:c>
      <x:c r="E104" s="19">
        <x:f>IF(A104="","",Journal_Import!D104)</x:f>
      </x:c>
      <x:c r="F104" s="19">
        <x:f>IF(A104="","",Journal_Import!F104)</x:f>
      </x:c>
      <x:c r="G104" s="19">
        <x:f>IF(A104="","",Journal_Import!G104)</x:f>
      </x:c>
      <x:c r="H104" s="19">
        <x:f>IF(A104="","",Journal_Import!H104)</x:f>
      </x:c>
      <x:c r="I104" s="12">
        <x:f>IF(A104="","",Journal_Import!S104)</x:f>
      </x:c>
      <x:c r="J104" s="12">
        <x:f>IF(A104="","",Journal_Import!T104)</x:f>
      </x:c>
      <x:c r="K104" s="12">
        <x:f>IF(C104="","",IF(C104=C103,K103+I104-J104,IFERROR(INDEX(COA_Master!$N:$N,MATCH(C104,COA_Master!$A:$A,0)),0)+I104-J104))</x:f>
      </x:c>
      <x:c r="L104" s="19">
        <x:f>IF(A104="","",IF(IFERROR(INDEX(COA_Master!$G:$G,MATCH(C104,COA_Master!$A:$A,0)),"Debit")="Debit",IF(K104&gt;=0,"Debit","Credit"),IF(K104&gt;=0,"Credit","Debit")))</x:f>
      </x:c>
      <x:c r="M104" s="19">
        <x:f>IF(A104="","",Journal_Import!V104)</x:f>
      </x:c>
      <x:c r="N104" s="19">
        <x:f>IF(A104="","",Journal_Import!W104)</x:f>
      </x:c>
      <x:c r="O104" s="19">
        <x:f>IF(A104="","",Journal_Import!Z104)</x:f>
      </x:c>
    </x:row>
    <x:row r="105">
      <x:c r="A105" s="18">
        <x:f>IF(Journal_Import!A105="","",Journal_Import!A105)</x:f>
      </x:c>
      <x:c r="B105" s="18">
        <x:f>IF(A105="","",Journal_Import!B105)</x:f>
      </x:c>
      <x:c r="C105" s="18">
        <x:f>IF(A105="","",Journal_Import!I105)</x:f>
      </x:c>
      <x:c r="D105" s="18">
        <x:f>IF(A105="","",Journal_Import!J105)</x:f>
      </x:c>
      <x:c r="E105" s="19">
        <x:f>IF(A105="","",Journal_Import!D105)</x:f>
      </x:c>
      <x:c r="F105" s="19">
        <x:f>IF(A105="","",Journal_Import!F105)</x:f>
      </x:c>
      <x:c r="G105" s="19">
        <x:f>IF(A105="","",Journal_Import!G105)</x:f>
      </x:c>
      <x:c r="H105" s="19">
        <x:f>IF(A105="","",Journal_Import!H105)</x:f>
      </x:c>
      <x:c r="I105" s="12">
        <x:f>IF(A105="","",Journal_Import!S105)</x:f>
      </x:c>
      <x:c r="J105" s="12">
        <x:f>IF(A105="","",Journal_Import!T105)</x:f>
      </x:c>
      <x:c r="K105" s="12">
        <x:f>IF(C105="","",IF(C105=C104,K104+I105-J105,IFERROR(INDEX(COA_Master!$N:$N,MATCH(C105,COA_Master!$A:$A,0)),0)+I105-J105))</x:f>
      </x:c>
      <x:c r="L105" s="19">
        <x:f>IF(A105="","",IF(IFERROR(INDEX(COA_Master!$G:$G,MATCH(C105,COA_Master!$A:$A,0)),"Debit")="Debit",IF(K105&gt;=0,"Debit","Credit"),IF(K105&gt;=0,"Credit","Debit")))</x:f>
      </x:c>
      <x:c r="M105" s="19">
        <x:f>IF(A105="","",Journal_Import!V105)</x:f>
      </x:c>
      <x:c r="N105" s="19">
        <x:f>IF(A105="","",Journal_Import!W105)</x:f>
      </x:c>
      <x:c r="O105" s="19">
        <x:f>IF(A105="","",Journal_Import!Z105)</x:f>
      </x:c>
    </x:row>
    <x:row r="106">
      <x:c r="A106" s="18">
        <x:f>IF(Journal_Import!A106="","",Journal_Import!A106)</x:f>
      </x:c>
      <x:c r="B106" s="18">
        <x:f>IF(A106="","",Journal_Import!B106)</x:f>
      </x:c>
      <x:c r="C106" s="18">
        <x:f>IF(A106="","",Journal_Import!I106)</x:f>
      </x:c>
      <x:c r="D106" s="18">
        <x:f>IF(A106="","",Journal_Import!J106)</x:f>
      </x:c>
      <x:c r="E106" s="19">
        <x:f>IF(A106="","",Journal_Import!D106)</x:f>
      </x:c>
      <x:c r="F106" s="19">
        <x:f>IF(A106="","",Journal_Import!F106)</x:f>
      </x:c>
      <x:c r="G106" s="19">
        <x:f>IF(A106="","",Journal_Import!G106)</x:f>
      </x:c>
      <x:c r="H106" s="19">
        <x:f>IF(A106="","",Journal_Import!H106)</x:f>
      </x:c>
      <x:c r="I106" s="12">
        <x:f>IF(A106="","",Journal_Import!S106)</x:f>
      </x:c>
      <x:c r="J106" s="12">
        <x:f>IF(A106="","",Journal_Import!T106)</x:f>
      </x:c>
      <x:c r="K106" s="12">
        <x:f>IF(C106="","",IF(C106=C105,K105+I106-J106,IFERROR(INDEX(COA_Master!$N:$N,MATCH(C106,COA_Master!$A:$A,0)),0)+I106-J106))</x:f>
      </x:c>
      <x:c r="L106" s="19">
        <x:f>IF(A106="","",IF(IFERROR(INDEX(COA_Master!$G:$G,MATCH(C106,COA_Master!$A:$A,0)),"Debit")="Debit",IF(K106&gt;=0,"Debit","Credit"),IF(K106&gt;=0,"Credit","Debit")))</x:f>
      </x:c>
      <x:c r="M106" s="19">
        <x:f>IF(A106="","",Journal_Import!V106)</x:f>
      </x:c>
      <x:c r="N106" s="19">
        <x:f>IF(A106="","",Journal_Import!W106)</x:f>
      </x:c>
      <x:c r="O106" s="19">
        <x:f>IF(A106="","",Journal_Import!Z106)</x:f>
      </x:c>
    </x:row>
    <x:row r="107">
      <x:c r="A107" s="18">
        <x:f>IF(Journal_Import!A107="","",Journal_Import!A107)</x:f>
      </x:c>
      <x:c r="B107" s="18">
        <x:f>IF(A107="","",Journal_Import!B107)</x:f>
      </x:c>
      <x:c r="C107" s="18">
        <x:f>IF(A107="","",Journal_Import!I107)</x:f>
      </x:c>
      <x:c r="D107" s="18">
        <x:f>IF(A107="","",Journal_Import!J107)</x:f>
      </x:c>
      <x:c r="E107" s="19">
        <x:f>IF(A107="","",Journal_Import!D107)</x:f>
      </x:c>
      <x:c r="F107" s="19">
        <x:f>IF(A107="","",Journal_Import!F107)</x:f>
      </x:c>
      <x:c r="G107" s="19">
        <x:f>IF(A107="","",Journal_Import!G107)</x:f>
      </x:c>
      <x:c r="H107" s="19">
        <x:f>IF(A107="","",Journal_Import!H107)</x:f>
      </x:c>
      <x:c r="I107" s="12">
        <x:f>IF(A107="","",Journal_Import!S107)</x:f>
      </x:c>
      <x:c r="J107" s="12">
        <x:f>IF(A107="","",Journal_Import!T107)</x:f>
      </x:c>
      <x:c r="K107" s="12">
        <x:f>IF(C107="","",IF(C107=C106,K106+I107-J107,IFERROR(INDEX(COA_Master!$N:$N,MATCH(C107,COA_Master!$A:$A,0)),0)+I107-J107))</x:f>
      </x:c>
      <x:c r="L107" s="19">
        <x:f>IF(A107="","",IF(IFERROR(INDEX(COA_Master!$G:$G,MATCH(C107,COA_Master!$A:$A,0)),"Debit")="Debit",IF(K107&gt;=0,"Debit","Credit"),IF(K107&gt;=0,"Credit","Debit")))</x:f>
      </x:c>
      <x:c r="M107" s="19">
        <x:f>IF(A107="","",Journal_Import!V107)</x:f>
      </x:c>
      <x:c r="N107" s="19">
        <x:f>IF(A107="","",Journal_Import!W107)</x:f>
      </x:c>
      <x:c r="O107" s="19">
        <x:f>IF(A107="","",Journal_Import!Z107)</x:f>
      </x:c>
    </x:row>
    <x:row r="108">
      <x:c r="A108" s="18">
        <x:f>IF(Journal_Import!A108="","",Journal_Import!A108)</x:f>
      </x:c>
      <x:c r="B108" s="18">
        <x:f>IF(A108="","",Journal_Import!B108)</x:f>
      </x:c>
      <x:c r="C108" s="18">
        <x:f>IF(A108="","",Journal_Import!I108)</x:f>
      </x:c>
      <x:c r="D108" s="18">
        <x:f>IF(A108="","",Journal_Import!J108)</x:f>
      </x:c>
      <x:c r="E108" s="19">
        <x:f>IF(A108="","",Journal_Import!D108)</x:f>
      </x:c>
      <x:c r="F108" s="19">
        <x:f>IF(A108="","",Journal_Import!F108)</x:f>
      </x:c>
      <x:c r="G108" s="19">
        <x:f>IF(A108="","",Journal_Import!G108)</x:f>
      </x:c>
      <x:c r="H108" s="19">
        <x:f>IF(A108="","",Journal_Import!H108)</x:f>
      </x:c>
      <x:c r="I108" s="12">
        <x:f>IF(A108="","",Journal_Import!S108)</x:f>
      </x:c>
      <x:c r="J108" s="12">
        <x:f>IF(A108="","",Journal_Import!T108)</x:f>
      </x:c>
      <x:c r="K108" s="12">
        <x:f>IF(C108="","",IF(C108=C107,K107+I108-J108,IFERROR(INDEX(COA_Master!$N:$N,MATCH(C108,COA_Master!$A:$A,0)),0)+I108-J108))</x:f>
      </x:c>
      <x:c r="L108" s="19">
        <x:f>IF(A108="","",IF(IFERROR(INDEX(COA_Master!$G:$G,MATCH(C108,COA_Master!$A:$A,0)),"Debit")="Debit",IF(K108&gt;=0,"Debit","Credit"),IF(K108&gt;=0,"Credit","Debit")))</x:f>
      </x:c>
      <x:c r="M108" s="19">
        <x:f>IF(A108="","",Journal_Import!V108)</x:f>
      </x:c>
      <x:c r="N108" s="19">
        <x:f>IF(A108="","",Journal_Import!W108)</x:f>
      </x:c>
      <x:c r="O108" s="19">
        <x:f>IF(A108="","",Journal_Import!Z108)</x:f>
      </x:c>
    </x:row>
    <x:row r="109">
      <x:c r="A109" s="18">
        <x:f>IF(Journal_Import!A109="","",Journal_Import!A109)</x:f>
      </x:c>
      <x:c r="B109" s="18">
        <x:f>IF(A109="","",Journal_Import!B109)</x:f>
      </x:c>
      <x:c r="C109" s="18">
        <x:f>IF(A109="","",Journal_Import!I109)</x:f>
      </x:c>
      <x:c r="D109" s="18">
        <x:f>IF(A109="","",Journal_Import!J109)</x:f>
      </x:c>
      <x:c r="E109" s="19">
        <x:f>IF(A109="","",Journal_Import!D109)</x:f>
      </x:c>
      <x:c r="F109" s="19">
        <x:f>IF(A109="","",Journal_Import!F109)</x:f>
      </x:c>
      <x:c r="G109" s="19">
        <x:f>IF(A109="","",Journal_Import!G109)</x:f>
      </x:c>
      <x:c r="H109" s="19">
        <x:f>IF(A109="","",Journal_Import!H109)</x:f>
      </x:c>
      <x:c r="I109" s="12">
        <x:f>IF(A109="","",Journal_Import!S109)</x:f>
      </x:c>
      <x:c r="J109" s="12">
        <x:f>IF(A109="","",Journal_Import!T109)</x:f>
      </x:c>
      <x:c r="K109" s="12">
        <x:f>IF(C109="","",IF(C109=C108,K108+I109-J109,IFERROR(INDEX(COA_Master!$N:$N,MATCH(C109,COA_Master!$A:$A,0)),0)+I109-J109))</x:f>
      </x:c>
      <x:c r="L109" s="19">
        <x:f>IF(A109="","",IF(IFERROR(INDEX(COA_Master!$G:$G,MATCH(C109,COA_Master!$A:$A,0)),"Debit")="Debit",IF(K109&gt;=0,"Debit","Credit"),IF(K109&gt;=0,"Credit","Debit")))</x:f>
      </x:c>
      <x:c r="M109" s="19">
        <x:f>IF(A109="","",Journal_Import!V109)</x:f>
      </x:c>
      <x:c r="N109" s="19">
        <x:f>IF(A109="","",Journal_Import!W109)</x:f>
      </x:c>
      <x:c r="O109" s="19">
        <x:f>IF(A109="","",Journal_Import!Z109)</x:f>
      </x:c>
    </x:row>
    <x:row r="110">
      <x:c r="A110" s="18">
        <x:f>IF(Journal_Import!A110="","",Journal_Import!A110)</x:f>
      </x:c>
      <x:c r="B110" s="18">
        <x:f>IF(A110="","",Journal_Import!B110)</x:f>
      </x:c>
      <x:c r="C110" s="18">
        <x:f>IF(A110="","",Journal_Import!I110)</x:f>
      </x:c>
      <x:c r="D110" s="18">
        <x:f>IF(A110="","",Journal_Import!J110)</x:f>
      </x:c>
      <x:c r="E110" s="19">
        <x:f>IF(A110="","",Journal_Import!D110)</x:f>
      </x:c>
      <x:c r="F110" s="19">
        <x:f>IF(A110="","",Journal_Import!F110)</x:f>
      </x:c>
      <x:c r="G110" s="19">
        <x:f>IF(A110="","",Journal_Import!G110)</x:f>
      </x:c>
      <x:c r="H110" s="19">
        <x:f>IF(A110="","",Journal_Import!H110)</x:f>
      </x:c>
      <x:c r="I110" s="12">
        <x:f>IF(A110="","",Journal_Import!S110)</x:f>
      </x:c>
      <x:c r="J110" s="12">
        <x:f>IF(A110="","",Journal_Import!T110)</x:f>
      </x:c>
      <x:c r="K110" s="12">
        <x:f>IF(C110="","",IF(C110=C109,K109+I110-J110,IFERROR(INDEX(COA_Master!$N:$N,MATCH(C110,COA_Master!$A:$A,0)),0)+I110-J110))</x:f>
      </x:c>
      <x:c r="L110" s="19">
        <x:f>IF(A110="","",IF(IFERROR(INDEX(COA_Master!$G:$G,MATCH(C110,COA_Master!$A:$A,0)),"Debit")="Debit",IF(K110&gt;=0,"Debit","Credit"),IF(K110&gt;=0,"Credit","Debit")))</x:f>
      </x:c>
      <x:c r="M110" s="19">
        <x:f>IF(A110="","",Journal_Import!V110)</x:f>
      </x:c>
      <x:c r="N110" s="19">
        <x:f>IF(A110="","",Journal_Import!W110)</x:f>
      </x:c>
      <x:c r="O110" s="19">
        <x:f>IF(A110="","",Journal_Import!Z110)</x:f>
      </x:c>
    </x:row>
    <x:row r="111">
      <x:c r="A111" s="18">
        <x:f>IF(Journal_Import!A111="","",Journal_Import!A111)</x:f>
      </x:c>
      <x:c r="B111" s="18">
        <x:f>IF(A111="","",Journal_Import!B111)</x:f>
      </x:c>
      <x:c r="C111" s="18">
        <x:f>IF(A111="","",Journal_Import!I111)</x:f>
      </x:c>
      <x:c r="D111" s="18">
        <x:f>IF(A111="","",Journal_Import!J111)</x:f>
      </x:c>
      <x:c r="E111" s="19">
        <x:f>IF(A111="","",Journal_Import!D111)</x:f>
      </x:c>
      <x:c r="F111" s="19">
        <x:f>IF(A111="","",Journal_Import!F111)</x:f>
      </x:c>
      <x:c r="G111" s="19">
        <x:f>IF(A111="","",Journal_Import!G111)</x:f>
      </x:c>
      <x:c r="H111" s="19">
        <x:f>IF(A111="","",Journal_Import!H111)</x:f>
      </x:c>
      <x:c r="I111" s="12">
        <x:f>IF(A111="","",Journal_Import!S111)</x:f>
      </x:c>
      <x:c r="J111" s="12">
        <x:f>IF(A111="","",Journal_Import!T111)</x:f>
      </x:c>
      <x:c r="K111" s="12">
        <x:f>IF(C111="","",IF(C111=C110,K110+I111-J111,IFERROR(INDEX(COA_Master!$N:$N,MATCH(C111,COA_Master!$A:$A,0)),0)+I111-J111))</x:f>
      </x:c>
      <x:c r="L111" s="19">
        <x:f>IF(A111="","",IF(IFERROR(INDEX(COA_Master!$G:$G,MATCH(C111,COA_Master!$A:$A,0)),"Debit")="Debit",IF(K111&gt;=0,"Debit","Credit"),IF(K111&gt;=0,"Credit","Debit")))</x:f>
      </x:c>
      <x:c r="M111" s="19">
        <x:f>IF(A111="","",Journal_Import!V111)</x:f>
      </x:c>
      <x:c r="N111" s="19">
        <x:f>IF(A111="","",Journal_Import!W111)</x:f>
      </x:c>
      <x:c r="O111" s="19">
        <x:f>IF(A111="","",Journal_Import!Z111)</x:f>
      </x:c>
    </x:row>
    <x:row r="112">
      <x:c r="A112" s="18">
        <x:f>IF(Journal_Import!A112="","",Journal_Import!A112)</x:f>
      </x:c>
      <x:c r="B112" s="18">
        <x:f>IF(A112="","",Journal_Import!B112)</x:f>
      </x:c>
      <x:c r="C112" s="18">
        <x:f>IF(A112="","",Journal_Import!I112)</x:f>
      </x:c>
      <x:c r="D112" s="18">
        <x:f>IF(A112="","",Journal_Import!J112)</x:f>
      </x:c>
      <x:c r="E112" s="19">
        <x:f>IF(A112="","",Journal_Import!D112)</x:f>
      </x:c>
      <x:c r="F112" s="19">
        <x:f>IF(A112="","",Journal_Import!F112)</x:f>
      </x:c>
      <x:c r="G112" s="19">
        <x:f>IF(A112="","",Journal_Import!G112)</x:f>
      </x:c>
      <x:c r="H112" s="19">
        <x:f>IF(A112="","",Journal_Import!H112)</x:f>
      </x:c>
      <x:c r="I112" s="12">
        <x:f>IF(A112="","",Journal_Import!S112)</x:f>
      </x:c>
      <x:c r="J112" s="12">
        <x:f>IF(A112="","",Journal_Import!T112)</x:f>
      </x:c>
      <x:c r="K112" s="12">
        <x:f>IF(C112="","",IF(C112=C111,K111+I112-J112,IFERROR(INDEX(COA_Master!$N:$N,MATCH(C112,COA_Master!$A:$A,0)),0)+I112-J112))</x:f>
      </x:c>
      <x:c r="L112" s="19">
        <x:f>IF(A112="","",IF(IFERROR(INDEX(COA_Master!$G:$G,MATCH(C112,COA_Master!$A:$A,0)),"Debit")="Debit",IF(K112&gt;=0,"Debit","Credit"),IF(K112&gt;=0,"Credit","Debit")))</x:f>
      </x:c>
      <x:c r="M112" s="19">
        <x:f>IF(A112="","",Journal_Import!V112)</x:f>
      </x:c>
      <x:c r="N112" s="19">
        <x:f>IF(A112="","",Journal_Import!W112)</x:f>
      </x:c>
      <x:c r="O112" s="19">
        <x:f>IF(A112="","",Journal_Import!Z112)</x:f>
      </x:c>
    </x:row>
    <x:row r="113">
      <x:c r="A113" s="18">
        <x:f>IF(Journal_Import!A113="","",Journal_Import!A113)</x:f>
      </x:c>
      <x:c r="B113" s="18">
        <x:f>IF(A113="","",Journal_Import!B113)</x:f>
      </x:c>
      <x:c r="C113" s="18">
        <x:f>IF(A113="","",Journal_Import!I113)</x:f>
      </x:c>
      <x:c r="D113" s="18">
        <x:f>IF(A113="","",Journal_Import!J113)</x:f>
      </x:c>
      <x:c r="E113" s="19">
        <x:f>IF(A113="","",Journal_Import!D113)</x:f>
      </x:c>
      <x:c r="F113" s="19">
        <x:f>IF(A113="","",Journal_Import!F113)</x:f>
      </x:c>
      <x:c r="G113" s="19">
        <x:f>IF(A113="","",Journal_Import!G113)</x:f>
      </x:c>
      <x:c r="H113" s="19">
        <x:f>IF(A113="","",Journal_Import!H113)</x:f>
      </x:c>
      <x:c r="I113" s="12">
        <x:f>IF(A113="","",Journal_Import!S113)</x:f>
      </x:c>
      <x:c r="J113" s="12">
        <x:f>IF(A113="","",Journal_Import!T113)</x:f>
      </x:c>
      <x:c r="K113" s="12">
        <x:f>IF(C113="","",IF(C113=C112,K112+I113-J113,IFERROR(INDEX(COA_Master!$N:$N,MATCH(C113,COA_Master!$A:$A,0)),0)+I113-J113))</x:f>
      </x:c>
      <x:c r="L113" s="19">
        <x:f>IF(A113="","",IF(IFERROR(INDEX(COA_Master!$G:$G,MATCH(C113,COA_Master!$A:$A,0)),"Debit")="Debit",IF(K113&gt;=0,"Debit","Credit"),IF(K113&gt;=0,"Credit","Debit")))</x:f>
      </x:c>
      <x:c r="M113" s="19">
        <x:f>IF(A113="","",Journal_Import!V113)</x:f>
      </x:c>
      <x:c r="N113" s="19">
        <x:f>IF(A113="","",Journal_Import!W113)</x:f>
      </x:c>
      <x:c r="O113" s="19">
        <x:f>IF(A113="","",Journal_Import!Z113)</x:f>
      </x:c>
    </x:row>
    <x:row r="114">
      <x:c r="A114" s="18">
        <x:f>IF(Journal_Import!A114="","",Journal_Import!A114)</x:f>
      </x:c>
      <x:c r="B114" s="18">
        <x:f>IF(A114="","",Journal_Import!B114)</x:f>
      </x:c>
      <x:c r="C114" s="18">
        <x:f>IF(A114="","",Journal_Import!I114)</x:f>
      </x:c>
      <x:c r="D114" s="18">
        <x:f>IF(A114="","",Journal_Import!J114)</x:f>
      </x:c>
      <x:c r="E114" s="19">
        <x:f>IF(A114="","",Journal_Import!D114)</x:f>
      </x:c>
      <x:c r="F114" s="19">
        <x:f>IF(A114="","",Journal_Import!F114)</x:f>
      </x:c>
      <x:c r="G114" s="19">
        <x:f>IF(A114="","",Journal_Import!G114)</x:f>
      </x:c>
      <x:c r="H114" s="19">
        <x:f>IF(A114="","",Journal_Import!H114)</x:f>
      </x:c>
      <x:c r="I114" s="12">
        <x:f>IF(A114="","",Journal_Import!S114)</x:f>
      </x:c>
      <x:c r="J114" s="12">
        <x:f>IF(A114="","",Journal_Import!T114)</x:f>
      </x:c>
      <x:c r="K114" s="12">
        <x:f>IF(C114="","",IF(C114=C113,K113+I114-J114,IFERROR(INDEX(COA_Master!$N:$N,MATCH(C114,COA_Master!$A:$A,0)),0)+I114-J114))</x:f>
      </x:c>
      <x:c r="L114" s="19">
        <x:f>IF(A114="","",IF(IFERROR(INDEX(COA_Master!$G:$G,MATCH(C114,COA_Master!$A:$A,0)),"Debit")="Debit",IF(K114&gt;=0,"Debit","Credit"),IF(K114&gt;=0,"Credit","Debit")))</x:f>
      </x:c>
      <x:c r="M114" s="19">
        <x:f>IF(A114="","",Journal_Import!V114)</x:f>
      </x:c>
      <x:c r="N114" s="19">
        <x:f>IF(A114="","",Journal_Import!W114)</x:f>
      </x:c>
      <x:c r="O114" s="19">
        <x:f>IF(A114="","",Journal_Import!Z114)</x:f>
      </x:c>
    </x:row>
    <x:row r="115">
      <x:c r="A115" s="18">
        <x:f>IF(Journal_Import!A115="","",Journal_Import!A115)</x:f>
      </x:c>
      <x:c r="B115" s="18">
        <x:f>IF(A115="","",Journal_Import!B115)</x:f>
      </x:c>
      <x:c r="C115" s="18">
        <x:f>IF(A115="","",Journal_Import!I115)</x:f>
      </x:c>
      <x:c r="D115" s="18">
        <x:f>IF(A115="","",Journal_Import!J115)</x:f>
      </x:c>
      <x:c r="E115" s="19">
        <x:f>IF(A115="","",Journal_Import!D115)</x:f>
      </x:c>
      <x:c r="F115" s="19">
        <x:f>IF(A115="","",Journal_Import!F115)</x:f>
      </x:c>
      <x:c r="G115" s="19">
        <x:f>IF(A115="","",Journal_Import!G115)</x:f>
      </x:c>
      <x:c r="H115" s="19">
        <x:f>IF(A115="","",Journal_Import!H115)</x:f>
      </x:c>
      <x:c r="I115" s="12">
        <x:f>IF(A115="","",Journal_Import!S115)</x:f>
      </x:c>
      <x:c r="J115" s="12">
        <x:f>IF(A115="","",Journal_Import!T115)</x:f>
      </x:c>
      <x:c r="K115" s="12">
        <x:f>IF(C115="","",IF(C115=C114,K114+I115-J115,IFERROR(INDEX(COA_Master!$N:$N,MATCH(C115,COA_Master!$A:$A,0)),0)+I115-J115))</x:f>
      </x:c>
      <x:c r="L115" s="19">
        <x:f>IF(A115="","",IF(IFERROR(INDEX(COA_Master!$G:$G,MATCH(C115,COA_Master!$A:$A,0)),"Debit")="Debit",IF(K115&gt;=0,"Debit","Credit"),IF(K115&gt;=0,"Credit","Debit")))</x:f>
      </x:c>
      <x:c r="M115" s="19">
        <x:f>IF(A115="","",Journal_Import!V115)</x:f>
      </x:c>
      <x:c r="N115" s="19">
        <x:f>IF(A115="","",Journal_Import!W115)</x:f>
      </x:c>
      <x:c r="O115" s="19">
        <x:f>IF(A115="","",Journal_Import!Z115)</x:f>
      </x:c>
    </x:row>
    <x:row r="116">
      <x:c r="A116" s="18">
        <x:f>IF(Journal_Import!A116="","",Journal_Import!A116)</x:f>
      </x:c>
      <x:c r="B116" s="18">
        <x:f>IF(A116="","",Journal_Import!B116)</x:f>
      </x:c>
      <x:c r="C116" s="18">
        <x:f>IF(A116="","",Journal_Import!I116)</x:f>
      </x:c>
      <x:c r="D116" s="18">
        <x:f>IF(A116="","",Journal_Import!J116)</x:f>
      </x:c>
      <x:c r="E116" s="19">
        <x:f>IF(A116="","",Journal_Import!D116)</x:f>
      </x:c>
      <x:c r="F116" s="19">
        <x:f>IF(A116="","",Journal_Import!F116)</x:f>
      </x:c>
      <x:c r="G116" s="19">
        <x:f>IF(A116="","",Journal_Import!G116)</x:f>
      </x:c>
      <x:c r="H116" s="19">
        <x:f>IF(A116="","",Journal_Import!H116)</x:f>
      </x:c>
      <x:c r="I116" s="12">
        <x:f>IF(A116="","",Journal_Import!S116)</x:f>
      </x:c>
      <x:c r="J116" s="12">
        <x:f>IF(A116="","",Journal_Import!T116)</x:f>
      </x:c>
      <x:c r="K116" s="12">
        <x:f>IF(C116="","",IF(C116=C115,K115+I116-J116,IFERROR(INDEX(COA_Master!$N:$N,MATCH(C116,COA_Master!$A:$A,0)),0)+I116-J116))</x:f>
      </x:c>
      <x:c r="L116" s="19">
        <x:f>IF(A116="","",IF(IFERROR(INDEX(COA_Master!$G:$G,MATCH(C116,COA_Master!$A:$A,0)),"Debit")="Debit",IF(K116&gt;=0,"Debit","Credit"),IF(K116&gt;=0,"Credit","Debit")))</x:f>
      </x:c>
      <x:c r="M116" s="19">
        <x:f>IF(A116="","",Journal_Import!V116)</x:f>
      </x:c>
      <x:c r="N116" s="19">
        <x:f>IF(A116="","",Journal_Import!W116)</x:f>
      </x:c>
      <x:c r="O116" s="19">
        <x:f>IF(A116="","",Journal_Import!Z116)</x:f>
      </x:c>
    </x:row>
    <x:row r="117">
      <x:c r="A117" s="18">
        <x:f>IF(Journal_Import!A117="","",Journal_Import!A117)</x:f>
      </x:c>
      <x:c r="B117" s="18">
        <x:f>IF(A117="","",Journal_Import!B117)</x:f>
      </x:c>
      <x:c r="C117" s="18">
        <x:f>IF(A117="","",Journal_Import!I117)</x:f>
      </x:c>
      <x:c r="D117" s="18">
        <x:f>IF(A117="","",Journal_Import!J117)</x:f>
      </x:c>
      <x:c r="E117" s="19">
        <x:f>IF(A117="","",Journal_Import!D117)</x:f>
      </x:c>
      <x:c r="F117" s="19">
        <x:f>IF(A117="","",Journal_Import!F117)</x:f>
      </x:c>
      <x:c r="G117" s="19">
        <x:f>IF(A117="","",Journal_Import!G117)</x:f>
      </x:c>
      <x:c r="H117" s="19">
        <x:f>IF(A117="","",Journal_Import!H117)</x:f>
      </x:c>
      <x:c r="I117" s="12">
        <x:f>IF(A117="","",Journal_Import!S117)</x:f>
      </x:c>
      <x:c r="J117" s="12">
        <x:f>IF(A117="","",Journal_Import!T117)</x:f>
      </x:c>
      <x:c r="K117" s="12">
        <x:f>IF(C117="","",IF(C117=C116,K116+I117-J117,IFERROR(INDEX(COA_Master!$N:$N,MATCH(C117,COA_Master!$A:$A,0)),0)+I117-J117))</x:f>
      </x:c>
      <x:c r="L117" s="19">
        <x:f>IF(A117="","",IF(IFERROR(INDEX(COA_Master!$G:$G,MATCH(C117,COA_Master!$A:$A,0)),"Debit")="Debit",IF(K117&gt;=0,"Debit","Credit"),IF(K117&gt;=0,"Credit","Debit")))</x:f>
      </x:c>
      <x:c r="M117" s="19">
        <x:f>IF(A117="","",Journal_Import!V117)</x:f>
      </x:c>
      <x:c r="N117" s="19">
        <x:f>IF(A117="","",Journal_Import!W117)</x:f>
      </x:c>
      <x:c r="O117" s="19">
        <x:f>IF(A117="","",Journal_Import!Z117)</x:f>
      </x:c>
    </x:row>
    <x:row r="118">
      <x:c r="A118" s="18">
        <x:f>IF(Journal_Import!A118="","",Journal_Import!A118)</x:f>
      </x:c>
      <x:c r="B118" s="18">
        <x:f>IF(A118="","",Journal_Import!B118)</x:f>
      </x:c>
      <x:c r="C118" s="18">
        <x:f>IF(A118="","",Journal_Import!I118)</x:f>
      </x:c>
      <x:c r="D118" s="18">
        <x:f>IF(A118="","",Journal_Import!J118)</x:f>
      </x:c>
      <x:c r="E118" s="19">
        <x:f>IF(A118="","",Journal_Import!D118)</x:f>
      </x:c>
      <x:c r="F118" s="19">
        <x:f>IF(A118="","",Journal_Import!F118)</x:f>
      </x:c>
      <x:c r="G118" s="19">
        <x:f>IF(A118="","",Journal_Import!G118)</x:f>
      </x:c>
      <x:c r="H118" s="19">
        <x:f>IF(A118="","",Journal_Import!H118)</x:f>
      </x:c>
      <x:c r="I118" s="12">
        <x:f>IF(A118="","",Journal_Import!S118)</x:f>
      </x:c>
      <x:c r="J118" s="12">
        <x:f>IF(A118="","",Journal_Import!T118)</x:f>
      </x:c>
      <x:c r="K118" s="12">
        <x:f>IF(C118="","",IF(C118=C117,K117+I118-J118,IFERROR(INDEX(COA_Master!$N:$N,MATCH(C118,COA_Master!$A:$A,0)),0)+I118-J118))</x:f>
      </x:c>
      <x:c r="L118" s="19">
        <x:f>IF(A118="","",IF(IFERROR(INDEX(COA_Master!$G:$G,MATCH(C118,COA_Master!$A:$A,0)),"Debit")="Debit",IF(K118&gt;=0,"Debit","Credit"),IF(K118&gt;=0,"Credit","Debit")))</x:f>
      </x:c>
      <x:c r="M118" s="19">
        <x:f>IF(A118="","",Journal_Import!V118)</x:f>
      </x:c>
      <x:c r="N118" s="19">
        <x:f>IF(A118="","",Journal_Import!W118)</x:f>
      </x:c>
      <x:c r="O118" s="19">
        <x:f>IF(A118="","",Journal_Import!Z118)</x:f>
      </x:c>
    </x:row>
    <x:row r="119">
      <x:c r="A119" s="18">
        <x:f>IF(Journal_Import!A119="","",Journal_Import!A119)</x:f>
      </x:c>
      <x:c r="B119" s="18">
        <x:f>IF(A119="","",Journal_Import!B119)</x:f>
      </x:c>
      <x:c r="C119" s="18">
        <x:f>IF(A119="","",Journal_Import!I119)</x:f>
      </x:c>
      <x:c r="D119" s="18">
        <x:f>IF(A119="","",Journal_Import!J119)</x:f>
      </x:c>
      <x:c r="E119" s="19">
        <x:f>IF(A119="","",Journal_Import!D119)</x:f>
      </x:c>
      <x:c r="F119" s="19">
        <x:f>IF(A119="","",Journal_Import!F119)</x:f>
      </x:c>
      <x:c r="G119" s="19">
        <x:f>IF(A119="","",Journal_Import!G119)</x:f>
      </x:c>
      <x:c r="H119" s="19">
        <x:f>IF(A119="","",Journal_Import!H119)</x:f>
      </x:c>
      <x:c r="I119" s="12">
        <x:f>IF(A119="","",Journal_Import!S119)</x:f>
      </x:c>
      <x:c r="J119" s="12">
        <x:f>IF(A119="","",Journal_Import!T119)</x:f>
      </x:c>
      <x:c r="K119" s="12">
        <x:f>IF(C119="","",IF(C119=C118,K118+I119-J119,IFERROR(INDEX(COA_Master!$N:$N,MATCH(C119,COA_Master!$A:$A,0)),0)+I119-J119))</x:f>
      </x:c>
      <x:c r="L119" s="19">
        <x:f>IF(A119="","",IF(IFERROR(INDEX(COA_Master!$G:$G,MATCH(C119,COA_Master!$A:$A,0)),"Debit")="Debit",IF(K119&gt;=0,"Debit","Credit"),IF(K119&gt;=0,"Credit","Debit")))</x:f>
      </x:c>
      <x:c r="M119" s="19">
        <x:f>IF(A119="","",Journal_Import!V119)</x:f>
      </x:c>
      <x:c r="N119" s="19">
        <x:f>IF(A119="","",Journal_Import!W119)</x:f>
      </x:c>
      <x:c r="O119" s="19">
        <x:f>IF(A119="","",Journal_Import!Z119)</x:f>
      </x:c>
    </x:row>
    <x:row r="120">
      <x:c r="A120" s="18">
        <x:f>IF(Journal_Import!A120="","",Journal_Import!A120)</x:f>
      </x:c>
      <x:c r="B120" s="18">
        <x:f>IF(A120="","",Journal_Import!B120)</x:f>
      </x:c>
      <x:c r="C120" s="18">
        <x:f>IF(A120="","",Journal_Import!I120)</x:f>
      </x:c>
      <x:c r="D120" s="18">
        <x:f>IF(A120="","",Journal_Import!J120)</x:f>
      </x:c>
      <x:c r="E120" s="19">
        <x:f>IF(A120="","",Journal_Import!D120)</x:f>
      </x:c>
      <x:c r="F120" s="19">
        <x:f>IF(A120="","",Journal_Import!F120)</x:f>
      </x:c>
      <x:c r="G120" s="19">
        <x:f>IF(A120="","",Journal_Import!G120)</x:f>
      </x:c>
      <x:c r="H120" s="19">
        <x:f>IF(A120="","",Journal_Import!H120)</x:f>
      </x:c>
      <x:c r="I120" s="12">
        <x:f>IF(A120="","",Journal_Import!S120)</x:f>
      </x:c>
      <x:c r="J120" s="12">
        <x:f>IF(A120="","",Journal_Import!T120)</x:f>
      </x:c>
      <x:c r="K120" s="12">
        <x:f>IF(C120="","",IF(C120=C119,K119+I120-J120,IFERROR(INDEX(COA_Master!$N:$N,MATCH(C120,COA_Master!$A:$A,0)),0)+I120-J120))</x:f>
      </x:c>
      <x:c r="L120" s="19">
        <x:f>IF(A120="","",IF(IFERROR(INDEX(COA_Master!$G:$G,MATCH(C120,COA_Master!$A:$A,0)),"Debit")="Debit",IF(K120&gt;=0,"Debit","Credit"),IF(K120&gt;=0,"Credit","Debit")))</x:f>
      </x:c>
      <x:c r="M120" s="19">
        <x:f>IF(A120="","",Journal_Import!V120)</x:f>
      </x:c>
      <x:c r="N120" s="19">
        <x:f>IF(A120="","",Journal_Import!W120)</x:f>
      </x:c>
      <x:c r="O120" s="19">
        <x:f>IF(A120="","",Journal_Import!Z120)</x:f>
      </x:c>
    </x:row>
    <x:row r="121">
      <x:c r="A121" s="18">
        <x:f>IF(Journal_Import!A121="","",Journal_Import!A121)</x:f>
      </x:c>
      <x:c r="B121" s="18">
        <x:f>IF(A121="","",Journal_Import!B121)</x:f>
      </x:c>
      <x:c r="C121" s="18">
        <x:f>IF(A121="","",Journal_Import!I121)</x:f>
      </x:c>
      <x:c r="D121" s="18">
        <x:f>IF(A121="","",Journal_Import!J121)</x:f>
      </x:c>
      <x:c r="E121" s="19">
        <x:f>IF(A121="","",Journal_Import!D121)</x:f>
      </x:c>
      <x:c r="F121" s="19">
        <x:f>IF(A121="","",Journal_Import!F121)</x:f>
      </x:c>
      <x:c r="G121" s="19">
        <x:f>IF(A121="","",Journal_Import!G121)</x:f>
      </x:c>
      <x:c r="H121" s="19">
        <x:f>IF(A121="","",Journal_Import!H121)</x:f>
      </x:c>
      <x:c r="I121" s="12">
        <x:f>IF(A121="","",Journal_Import!S121)</x:f>
      </x:c>
      <x:c r="J121" s="12">
        <x:f>IF(A121="","",Journal_Import!T121)</x:f>
      </x:c>
      <x:c r="K121" s="12">
        <x:f>IF(C121="","",IF(C121=C120,K120+I121-J121,IFERROR(INDEX(COA_Master!$N:$N,MATCH(C121,COA_Master!$A:$A,0)),0)+I121-J121))</x:f>
      </x:c>
      <x:c r="L121" s="19">
        <x:f>IF(A121="","",IF(IFERROR(INDEX(COA_Master!$G:$G,MATCH(C121,COA_Master!$A:$A,0)),"Debit")="Debit",IF(K121&gt;=0,"Debit","Credit"),IF(K121&gt;=0,"Credit","Debit")))</x:f>
      </x:c>
      <x:c r="M121" s="19">
        <x:f>IF(A121="","",Journal_Import!V121)</x:f>
      </x:c>
      <x:c r="N121" s="19">
        <x:f>IF(A121="","",Journal_Import!W121)</x:f>
      </x:c>
      <x:c r="O121" s="19">
        <x:f>IF(A121="","",Journal_Import!Z121)</x:f>
      </x:c>
    </x:row>
    <x:row r="122">
      <x:c r="A122" s="18">
        <x:f>IF(Journal_Import!A122="","",Journal_Import!A122)</x:f>
      </x:c>
      <x:c r="B122" s="18">
        <x:f>IF(A122="","",Journal_Import!B122)</x:f>
      </x:c>
      <x:c r="C122" s="18">
        <x:f>IF(A122="","",Journal_Import!I122)</x:f>
      </x:c>
      <x:c r="D122" s="18">
        <x:f>IF(A122="","",Journal_Import!J122)</x:f>
      </x:c>
      <x:c r="E122" s="19">
        <x:f>IF(A122="","",Journal_Import!D122)</x:f>
      </x:c>
      <x:c r="F122" s="19">
        <x:f>IF(A122="","",Journal_Import!F122)</x:f>
      </x:c>
      <x:c r="G122" s="19">
        <x:f>IF(A122="","",Journal_Import!G122)</x:f>
      </x:c>
      <x:c r="H122" s="19">
        <x:f>IF(A122="","",Journal_Import!H122)</x:f>
      </x:c>
      <x:c r="I122" s="12">
        <x:f>IF(A122="","",Journal_Import!S122)</x:f>
      </x:c>
      <x:c r="J122" s="12">
        <x:f>IF(A122="","",Journal_Import!T122)</x:f>
      </x:c>
      <x:c r="K122" s="12">
        <x:f>IF(C122="","",IF(C122=C121,K121+I122-J122,IFERROR(INDEX(COA_Master!$N:$N,MATCH(C122,COA_Master!$A:$A,0)),0)+I122-J122))</x:f>
      </x:c>
      <x:c r="L122" s="19">
        <x:f>IF(A122="","",IF(IFERROR(INDEX(COA_Master!$G:$G,MATCH(C122,COA_Master!$A:$A,0)),"Debit")="Debit",IF(K122&gt;=0,"Debit","Credit"),IF(K122&gt;=0,"Credit","Debit")))</x:f>
      </x:c>
      <x:c r="M122" s="19">
        <x:f>IF(A122="","",Journal_Import!V122)</x:f>
      </x:c>
      <x:c r="N122" s="19">
        <x:f>IF(A122="","",Journal_Import!W122)</x:f>
      </x:c>
      <x:c r="O122" s="19">
        <x:f>IF(A122="","",Journal_Import!Z122)</x:f>
      </x:c>
    </x:row>
    <x:row r="123">
      <x:c r="A123" s="18">
        <x:f>IF(Journal_Import!A123="","",Journal_Import!A123)</x:f>
      </x:c>
      <x:c r="B123" s="18">
        <x:f>IF(A123="","",Journal_Import!B123)</x:f>
      </x:c>
      <x:c r="C123" s="18">
        <x:f>IF(A123="","",Journal_Import!I123)</x:f>
      </x:c>
      <x:c r="D123" s="18">
        <x:f>IF(A123="","",Journal_Import!J123)</x:f>
      </x:c>
      <x:c r="E123" s="19">
        <x:f>IF(A123="","",Journal_Import!D123)</x:f>
      </x:c>
      <x:c r="F123" s="19">
        <x:f>IF(A123="","",Journal_Import!F123)</x:f>
      </x:c>
      <x:c r="G123" s="19">
        <x:f>IF(A123="","",Journal_Import!G123)</x:f>
      </x:c>
      <x:c r="H123" s="19">
        <x:f>IF(A123="","",Journal_Import!H123)</x:f>
      </x:c>
      <x:c r="I123" s="12">
        <x:f>IF(A123="","",Journal_Import!S123)</x:f>
      </x:c>
      <x:c r="J123" s="12">
        <x:f>IF(A123="","",Journal_Import!T123)</x:f>
      </x:c>
      <x:c r="K123" s="12">
        <x:f>IF(C123="","",IF(C123=C122,K122+I123-J123,IFERROR(INDEX(COA_Master!$N:$N,MATCH(C123,COA_Master!$A:$A,0)),0)+I123-J123))</x:f>
      </x:c>
      <x:c r="L123" s="19">
        <x:f>IF(A123="","",IF(IFERROR(INDEX(COA_Master!$G:$G,MATCH(C123,COA_Master!$A:$A,0)),"Debit")="Debit",IF(K123&gt;=0,"Debit","Credit"),IF(K123&gt;=0,"Credit","Debit")))</x:f>
      </x:c>
      <x:c r="M123" s="19">
        <x:f>IF(A123="","",Journal_Import!V123)</x:f>
      </x:c>
      <x:c r="N123" s="19">
        <x:f>IF(A123="","",Journal_Import!W123)</x:f>
      </x:c>
      <x:c r="O123" s="19">
        <x:f>IF(A123="","",Journal_Import!Z123)</x:f>
      </x:c>
    </x:row>
    <x:row r="124">
      <x:c r="A124" s="18">
        <x:f>IF(Journal_Import!A124="","",Journal_Import!A124)</x:f>
      </x:c>
      <x:c r="B124" s="18">
        <x:f>IF(A124="","",Journal_Import!B124)</x:f>
      </x:c>
      <x:c r="C124" s="18">
        <x:f>IF(A124="","",Journal_Import!I124)</x:f>
      </x:c>
      <x:c r="D124" s="18">
        <x:f>IF(A124="","",Journal_Import!J124)</x:f>
      </x:c>
      <x:c r="E124" s="19">
        <x:f>IF(A124="","",Journal_Import!D124)</x:f>
      </x:c>
      <x:c r="F124" s="19">
        <x:f>IF(A124="","",Journal_Import!F124)</x:f>
      </x:c>
      <x:c r="G124" s="19">
        <x:f>IF(A124="","",Journal_Import!G124)</x:f>
      </x:c>
      <x:c r="H124" s="19">
        <x:f>IF(A124="","",Journal_Import!H124)</x:f>
      </x:c>
      <x:c r="I124" s="12">
        <x:f>IF(A124="","",Journal_Import!S124)</x:f>
      </x:c>
      <x:c r="J124" s="12">
        <x:f>IF(A124="","",Journal_Import!T124)</x:f>
      </x:c>
      <x:c r="K124" s="12">
        <x:f>IF(C124="","",IF(C124=C123,K123+I124-J124,IFERROR(INDEX(COA_Master!$N:$N,MATCH(C124,COA_Master!$A:$A,0)),0)+I124-J124))</x:f>
      </x:c>
      <x:c r="L124" s="19">
        <x:f>IF(A124="","",IF(IFERROR(INDEX(COA_Master!$G:$G,MATCH(C124,COA_Master!$A:$A,0)),"Debit")="Debit",IF(K124&gt;=0,"Debit","Credit"),IF(K124&gt;=0,"Credit","Debit")))</x:f>
      </x:c>
      <x:c r="M124" s="19">
        <x:f>IF(A124="","",Journal_Import!V124)</x:f>
      </x:c>
      <x:c r="N124" s="19">
        <x:f>IF(A124="","",Journal_Import!W124)</x:f>
      </x:c>
      <x:c r="O124" s="19">
        <x:f>IF(A124="","",Journal_Import!Z124)</x:f>
      </x:c>
    </x:row>
    <x:row r="125">
      <x:c r="A125" s="18">
        <x:f>IF(Journal_Import!A125="","",Journal_Import!A125)</x:f>
      </x:c>
      <x:c r="B125" s="18">
        <x:f>IF(A125="","",Journal_Import!B125)</x:f>
      </x:c>
      <x:c r="C125" s="18">
        <x:f>IF(A125="","",Journal_Import!I125)</x:f>
      </x:c>
      <x:c r="D125" s="18">
        <x:f>IF(A125="","",Journal_Import!J125)</x:f>
      </x:c>
      <x:c r="E125" s="19">
        <x:f>IF(A125="","",Journal_Import!D125)</x:f>
      </x:c>
      <x:c r="F125" s="19">
        <x:f>IF(A125="","",Journal_Import!F125)</x:f>
      </x:c>
      <x:c r="G125" s="19">
        <x:f>IF(A125="","",Journal_Import!G125)</x:f>
      </x:c>
      <x:c r="H125" s="19">
        <x:f>IF(A125="","",Journal_Import!H125)</x:f>
      </x:c>
      <x:c r="I125" s="12">
        <x:f>IF(A125="","",Journal_Import!S125)</x:f>
      </x:c>
      <x:c r="J125" s="12">
        <x:f>IF(A125="","",Journal_Import!T125)</x:f>
      </x:c>
      <x:c r="K125" s="12">
        <x:f>IF(C125="","",IF(C125=C124,K124+I125-J125,IFERROR(INDEX(COA_Master!$N:$N,MATCH(C125,COA_Master!$A:$A,0)),0)+I125-J125))</x:f>
      </x:c>
      <x:c r="L125" s="19">
        <x:f>IF(A125="","",IF(IFERROR(INDEX(COA_Master!$G:$G,MATCH(C125,COA_Master!$A:$A,0)),"Debit")="Debit",IF(K125&gt;=0,"Debit","Credit"),IF(K125&gt;=0,"Credit","Debit")))</x:f>
      </x:c>
      <x:c r="M125" s="19">
        <x:f>IF(A125="","",Journal_Import!V125)</x:f>
      </x:c>
      <x:c r="N125" s="19">
        <x:f>IF(A125="","",Journal_Import!W125)</x:f>
      </x:c>
      <x:c r="O125" s="19">
        <x:f>IF(A125="","",Journal_Import!Z125)</x:f>
      </x:c>
    </x:row>
    <x:row r="126">
      <x:c r="A126" s="18">
        <x:f>IF(Journal_Import!A126="","",Journal_Import!A126)</x:f>
      </x:c>
      <x:c r="B126" s="18">
        <x:f>IF(A126="","",Journal_Import!B126)</x:f>
      </x:c>
      <x:c r="C126" s="18">
        <x:f>IF(A126="","",Journal_Import!I126)</x:f>
      </x:c>
      <x:c r="D126" s="18">
        <x:f>IF(A126="","",Journal_Import!J126)</x:f>
      </x:c>
      <x:c r="E126" s="19">
        <x:f>IF(A126="","",Journal_Import!D126)</x:f>
      </x:c>
      <x:c r="F126" s="19">
        <x:f>IF(A126="","",Journal_Import!F126)</x:f>
      </x:c>
      <x:c r="G126" s="19">
        <x:f>IF(A126="","",Journal_Import!G126)</x:f>
      </x:c>
      <x:c r="H126" s="19">
        <x:f>IF(A126="","",Journal_Import!H126)</x:f>
      </x:c>
      <x:c r="I126" s="12">
        <x:f>IF(A126="","",Journal_Import!S126)</x:f>
      </x:c>
      <x:c r="J126" s="12">
        <x:f>IF(A126="","",Journal_Import!T126)</x:f>
      </x:c>
      <x:c r="K126" s="12">
        <x:f>IF(C126="","",IF(C126=C125,K125+I126-J126,IFERROR(INDEX(COA_Master!$N:$N,MATCH(C126,COA_Master!$A:$A,0)),0)+I126-J126))</x:f>
      </x:c>
      <x:c r="L126" s="19">
        <x:f>IF(A126="","",IF(IFERROR(INDEX(COA_Master!$G:$G,MATCH(C126,COA_Master!$A:$A,0)),"Debit")="Debit",IF(K126&gt;=0,"Debit","Credit"),IF(K126&gt;=0,"Credit","Debit")))</x:f>
      </x:c>
      <x:c r="M126" s="19">
        <x:f>IF(A126="","",Journal_Import!V126)</x:f>
      </x:c>
      <x:c r="N126" s="19">
        <x:f>IF(A126="","",Journal_Import!W126)</x:f>
      </x:c>
      <x:c r="O126" s="19">
        <x:f>IF(A126="","",Journal_Import!Z126)</x:f>
      </x:c>
    </x:row>
    <x:row r="127">
      <x:c r="A127" s="18">
        <x:f>IF(Journal_Import!A127="","",Journal_Import!A127)</x:f>
      </x:c>
      <x:c r="B127" s="18">
        <x:f>IF(A127="","",Journal_Import!B127)</x:f>
      </x:c>
      <x:c r="C127" s="18">
        <x:f>IF(A127="","",Journal_Import!I127)</x:f>
      </x:c>
      <x:c r="D127" s="18">
        <x:f>IF(A127="","",Journal_Import!J127)</x:f>
      </x:c>
      <x:c r="E127" s="19">
        <x:f>IF(A127="","",Journal_Import!D127)</x:f>
      </x:c>
      <x:c r="F127" s="19">
        <x:f>IF(A127="","",Journal_Import!F127)</x:f>
      </x:c>
      <x:c r="G127" s="19">
        <x:f>IF(A127="","",Journal_Import!G127)</x:f>
      </x:c>
      <x:c r="H127" s="19">
        <x:f>IF(A127="","",Journal_Import!H127)</x:f>
      </x:c>
      <x:c r="I127" s="12">
        <x:f>IF(A127="","",Journal_Import!S127)</x:f>
      </x:c>
      <x:c r="J127" s="12">
        <x:f>IF(A127="","",Journal_Import!T127)</x:f>
      </x:c>
      <x:c r="K127" s="12">
        <x:f>IF(C127="","",IF(C127=C126,K126+I127-J127,IFERROR(INDEX(COA_Master!$N:$N,MATCH(C127,COA_Master!$A:$A,0)),0)+I127-J127))</x:f>
      </x:c>
      <x:c r="L127" s="19">
        <x:f>IF(A127="","",IF(IFERROR(INDEX(COA_Master!$G:$G,MATCH(C127,COA_Master!$A:$A,0)),"Debit")="Debit",IF(K127&gt;=0,"Debit","Credit"),IF(K127&gt;=0,"Credit","Debit")))</x:f>
      </x:c>
      <x:c r="M127" s="19">
        <x:f>IF(A127="","",Journal_Import!V127)</x:f>
      </x:c>
      <x:c r="N127" s="19">
        <x:f>IF(A127="","",Journal_Import!W127)</x:f>
      </x:c>
      <x:c r="O127" s="19">
        <x:f>IF(A127="","",Journal_Import!Z127)</x:f>
      </x:c>
    </x:row>
    <x:row r="128">
      <x:c r="A128" s="18">
        <x:f>IF(Journal_Import!A128="","",Journal_Import!A128)</x:f>
      </x:c>
      <x:c r="B128" s="18">
        <x:f>IF(A128="","",Journal_Import!B128)</x:f>
      </x:c>
      <x:c r="C128" s="18">
        <x:f>IF(A128="","",Journal_Import!I128)</x:f>
      </x:c>
      <x:c r="D128" s="18">
        <x:f>IF(A128="","",Journal_Import!J128)</x:f>
      </x:c>
      <x:c r="E128" s="19">
        <x:f>IF(A128="","",Journal_Import!D128)</x:f>
      </x:c>
      <x:c r="F128" s="19">
        <x:f>IF(A128="","",Journal_Import!F128)</x:f>
      </x:c>
      <x:c r="G128" s="19">
        <x:f>IF(A128="","",Journal_Import!G128)</x:f>
      </x:c>
      <x:c r="H128" s="19">
        <x:f>IF(A128="","",Journal_Import!H128)</x:f>
      </x:c>
      <x:c r="I128" s="12">
        <x:f>IF(A128="","",Journal_Import!S128)</x:f>
      </x:c>
      <x:c r="J128" s="12">
        <x:f>IF(A128="","",Journal_Import!T128)</x:f>
      </x:c>
      <x:c r="K128" s="12">
        <x:f>IF(C128="","",IF(C128=C127,K127+I128-J128,IFERROR(INDEX(COA_Master!$N:$N,MATCH(C128,COA_Master!$A:$A,0)),0)+I128-J128))</x:f>
      </x:c>
      <x:c r="L128" s="19">
        <x:f>IF(A128="","",IF(IFERROR(INDEX(COA_Master!$G:$G,MATCH(C128,COA_Master!$A:$A,0)),"Debit")="Debit",IF(K128&gt;=0,"Debit","Credit"),IF(K128&gt;=0,"Credit","Debit")))</x:f>
      </x:c>
      <x:c r="M128" s="19">
        <x:f>IF(A128="","",Journal_Import!V128)</x:f>
      </x:c>
      <x:c r="N128" s="19">
        <x:f>IF(A128="","",Journal_Import!W128)</x:f>
      </x:c>
      <x:c r="O128" s="19">
        <x:f>IF(A128="","",Journal_Import!Z128)</x:f>
      </x:c>
    </x:row>
    <x:row r="129">
      <x:c r="A129" s="18">
        <x:f>IF(Journal_Import!A129="","",Journal_Import!A129)</x:f>
      </x:c>
      <x:c r="B129" s="18">
        <x:f>IF(A129="","",Journal_Import!B129)</x:f>
      </x:c>
      <x:c r="C129" s="18">
        <x:f>IF(A129="","",Journal_Import!I129)</x:f>
      </x:c>
      <x:c r="D129" s="18">
        <x:f>IF(A129="","",Journal_Import!J129)</x:f>
      </x:c>
      <x:c r="E129" s="19">
        <x:f>IF(A129="","",Journal_Import!D129)</x:f>
      </x:c>
      <x:c r="F129" s="19">
        <x:f>IF(A129="","",Journal_Import!F129)</x:f>
      </x:c>
      <x:c r="G129" s="19">
        <x:f>IF(A129="","",Journal_Import!G129)</x:f>
      </x:c>
      <x:c r="H129" s="19">
        <x:f>IF(A129="","",Journal_Import!H129)</x:f>
      </x:c>
      <x:c r="I129" s="12">
        <x:f>IF(A129="","",Journal_Import!S129)</x:f>
      </x:c>
      <x:c r="J129" s="12">
        <x:f>IF(A129="","",Journal_Import!T129)</x:f>
      </x:c>
      <x:c r="K129" s="12">
        <x:f>IF(C129="","",IF(C129=C128,K128+I129-J129,IFERROR(INDEX(COA_Master!$N:$N,MATCH(C129,COA_Master!$A:$A,0)),0)+I129-J129))</x:f>
      </x:c>
      <x:c r="L129" s="19">
        <x:f>IF(A129="","",IF(IFERROR(INDEX(COA_Master!$G:$G,MATCH(C129,COA_Master!$A:$A,0)),"Debit")="Debit",IF(K129&gt;=0,"Debit","Credit"),IF(K129&gt;=0,"Credit","Debit")))</x:f>
      </x:c>
      <x:c r="M129" s="19">
        <x:f>IF(A129="","",Journal_Import!V129)</x:f>
      </x:c>
      <x:c r="N129" s="19">
        <x:f>IF(A129="","",Journal_Import!W129)</x:f>
      </x:c>
      <x:c r="O129" s="19">
        <x:f>IF(A129="","",Journal_Import!Z129)</x:f>
      </x:c>
    </x:row>
    <x:row r="130">
      <x:c r="A130" s="18">
        <x:f>IF(Journal_Import!A130="","",Journal_Import!A130)</x:f>
      </x:c>
      <x:c r="B130" s="18">
        <x:f>IF(A130="","",Journal_Import!B130)</x:f>
      </x:c>
      <x:c r="C130" s="18">
        <x:f>IF(A130="","",Journal_Import!I130)</x:f>
      </x:c>
      <x:c r="D130" s="18">
        <x:f>IF(A130="","",Journal_Import!J130)</x:f>
      </x:c>
      <x:c r="E130" s="19">
        <x:f>IF(A130="","",Journal_Import!D130)</x:f>
      </x:c>
      <x:c r="F130" s="19">
        <x:f>IF(A130="","",Journal_Import!F130)</x:f>
      </x:c>
      <x:c r="G130" s="19">
        <x:f>IF(A130="","",Journal_Import!G130)</x:f>
      </x:c>
      <x:c r="H130" s="19">
        <x:f>IF(A130="","",Journal_Import!H130)</x:f>
      </x:c>
      <x:c r="I130" s="12">
        <x:f>IF(A130="","",Journal_Import!S130)</x:f>
      </x:c>
      <x:c r="J130" s="12">
        <x:f>IF(A130="","",Journal_Import!T130)</x:f>
      </x:c>
      <x:c r="K130" s="12">
        <x:f>IF(C130="","",IF(C130=C129,K129+I130-J130,IFERROR(INDEX(COA_Master!$N:$N,MATCH(C130,COA_Master!$A:$A,0)),0)+I130-J130))</x:f>
      </x:c>
      <x:c r="L130" s="19">
        <x:f>IF(A130="","",IF(IFERROR(INDEX(COA_Master!$G:$G,MATCH(C130,COA_Master!$A:$A,0)),"Debit")="Debit",IF(K130&gt;=0,"Debit","Credit"),IF(K130&gt;=0,"Credit","Debit")))</x:f>
      </x:c>
      <x:c r="M130" s="19">
        <x:f>IF(A130="","",Journal_Import!V130)</x:f>
      </x:c>
      <x:c r="N130" s="19">
        <x:f>IF(A130="","",Journal_Import!W130)</x:f>
      </x:c>
      <x:c r="O130" s="19">
        <x:f>IF(A130="","",Journal_Import!Z130)</x:f>
      </x:c>
    </x:row>
    <x:row r="131">
      <x:c r="A131" s="18">
        <x:f>IF(Journal_Import!A131="","",Journal_Import!A131)</x:f>
      </x:c>
      <x:c r="B131" s="18">
        <x:f>IF(A131="","",Journal_Import!B131)</x:f>
      </x:c>
      <x:c r="C131" s="18">
        <x:f>IF(A131="","",Journal_Import!I131)</x:f>
      </x:c>
      <x:c r="D131" s="18">
        <x:f>IF(A131="","",Journal_Import!J131)</x:f>
      </x:c>
      <x:c r="E131" s="19">
        <x:f>IF(A131="","",Journal_Import!D131)</x:f>
      </x:c>
      <x:c r="F131" s="19">
        <x:f>IF(A131="","",Journal_Import!F131)</x:f>
      </x:c>
      <x:c r="G131" s="19">
        <x:f>IF(A131="","",Journal_Import!G131)</x:f>
      </x:c>
      <x:c r="H131" s="19">
        <x:f>IF(A131="","",Journal_Import!H131)</x:f>
      </x:c>
      <x:c r="I131" s="12">
        <x:f>IF(A131="","",Journal_Import!S131)</x:f>
      </x:c>
      <x:c r="J131" s="12">
        <x:f>IF(A131="","",Journal_Import!T131)</x:f>
      </x:c>
      <x:c r="K131" s="12">
        <x:f>IF(C131="","",IF(C131=C130,K130+I131-J131,IFERROR(INDEX(COA_Master!$N:$N,MATCH(C131,COA_Master!$A:$A,0)),0)+I131-J131))</x:f>
      </x:c>
      <x:c r="L131" s="19">
        <x:f>IF(A131="","",IF(IFERROR(INDEX(COA_Master!$G:$G,MATCH(C131,COA_Master!$A:$A,0)),"Debit")="Debit",IF(K131&gt;=0,"Debit","Credit"),IF(K131&gt;=0,"Credit","Debit")))</x:f>
      </x:c>
      <x:c r="M131" s="19">
        <x:f>IF(A131="","",Journal_Import!V131)</x:f>
      </x:c>
      <x:c r="N131" s="19">
        <x:f>IF(A131="","",Journal_Import!W131)</x:f>
      </x:c>
      <x:c r="O131" s="19">
        <x:f>IF(A131="","",Journal_Import!Z131)</x:f>
      </x:c>
    </x:row>
    <x:row r="132">
      <x:c r="A132" s="18">
        <x:f>IF(Journal_Import!A132="","",Journal_Import!A132)</x:f>
      </x:c>
      <x:c r="B132" s="18">
        <x:f>IF(A132="","",Journal_Import!B132)</x:f>
      </x:c>
      <x:c r="C132" s="18">
        <x:f>IF(A132="","",Journal_Import!I132)</x:f>
      </x:c>
      <x:c r="D132" s="18">
        <x:f>IF(A132="","",Journal_Import!J132)</x:f>
      </x:c>
      <x:c r="E132" s="19">
        <x:f>IF(A132="","",Journal_Import!D132)</x:f>
      </x:c>
      <x:c r="F132" s="19">
        <x:f>IF(A132="","",Journal_Import!F132)</x:f>
      </x:c>
      <x:c r="G132" s="19">
        <x:f>IF(A132="","",Journal_Import!G132)</x:f>
      </x:c>
      <x:c r="H132" s="19">
        <x:f>IF(A132="","",Journal_Import!H132)</x:f>
      </x:c>
      <x:c r="I132" s="12">
        <x:f>IF(A132="","",Journal_Import!S132)</x:f>
      </x:c>
      <x:c r="J132" s="12">
        <x:f>IF(A132="","",Journal_Import!T132)</x:f>
      </x:c>
      <x:c r="K132" s="12">
        <x:f>IF(C132="","",IF(C132=C131,K131+I132-J132,IFERROR(INDEX(COA_Master!$N:$N,MATCH(C132,COA_Master!$A:$A,0)),0)+I132-J132))</x:f>
      </x:c>
      <x:c r="L132" s="19">
        <x:f>IF(A132="","",IF(IFERROR(INDEX(COA_Master!$G:$G,MATCH(C132,COA_Master!$A:$A,0)),"Debit")="Debit",IF(K132&gt;=0,"Debit","Credit"),IF(K132&gt;=0,"Credit","Debit")))</x:f>
      </x:c>
      <x:c r="M132" s="19">
        <x:f>IF(A132="","",Journal_Import!V132)</x:f>
      </x:c>
      <x:c r="N132" s="19">
        <x:f>IF(A132="","",Journal_Import!W132)</x:f>
      </x:c>
      <x:c r="O132" s="19">
        <x:f>IF(A132="","",Journal_Import!Z132)</x:f>
      </x:c>
    </x:row>
    <x:row r="133">
      <x:c r="A133" s="18">
        <x:f>IF(Journal_Import!A133="","",Journal_Import!A133)</x:f>
      </x:c>
      <x:c r="B133" s="18">
        <x:f>IF(A133="","",Journal_Import!B133)</x:f>
      </x:c>
      <x:c r="C133" s="18">
        <x:f>IF(A133="","",Journal_Import!I133)</x:f>
      </x:c>
      <x:c r="D133" s="18">
        <x:f>IF(A133="","",Journal_Import!J133)</x:f>
      </x:c>
      <x:c r="E133" s="19">
        <x:f>IF(A133="","",Journal_Import!D133)</x:f>
      </x:c>
      <x:c r="F133" s="19">
        <x:f>IF(A133="","",Journal_Import!F133)</x:f>
      </x:c>
      <x:c r="G133" s="19">
        <x:f>IF(A133="","",Journal_Import!G133)</x:f>
      </x:c>
      <x:c r="H133" s="19">
        <x:f>IF(A133="","",Journal_Import!H133)</x:f>
      </x:c>
      <x:c r="I133" s="12">
        <x:f>IF(A133="","",Journal_Import!S133)</x:f>
      </x:c>
      <x:c r="J133" s="12">
        <x:f>IF(A133="","",Journal_Import!T133)</x:f>
      </x:c>
      <x:c r="K133" s="12">
        <x:f>IF(C133="","",IF(C133=C132,K132+I133-J133,IFERROR(INDEX(COA_Master!$N:$N,MATCH(C133,COA_Master!$A:$A,0)),0)+I133-J133))</x:f>
      </x:c>
      <x:c r="L133" s="19">
        <x:f>IF(A133="","",IF(IFERROR(INDEX(COA_Master!$G:$G,MATCH(C133,COA_Master!$A:$A,0)),"Debit")="Debit",IF(K133&gt;=0,"Debit","Credit"),IF(K133&gt;=0,"Credit","Debit")))</x:f>
      </x:c>
      <x:c r="M133" s="19">
        <x:f>IF(A133="","",Journal_Import!V133)</x:f>
      </x:c>
      <x:c r="N133" s="19">
        <x:f>IF(A133="","",Journal_Import!W133)</x:f>
      </x:c>
      <x:c r="O133" s="19">
        <x:f>IF(A133="","",Journal_Import!Z133)</x:f>
      </x:c>
    </x:row>
    <x:row r="134">
      <x:c r="A134" s="18">
        <x:f>IF(Journal_Import!A134="","",Journal_Import!A134)</x:f>
      </x:c>
      <x:c r="B134" s="18">
        <x:f>IF(A134="","",Journal_Import!B134)</x:f>
      </x:c>
      <x:c r="C134" s="18">
        <x:f>IF(A134="","",Journal_Import!I134)</x:f>
      </x:c>
      <x:c r="D134" s="18">
        <x:f>IF(A134="","",Journal_Import!J134)</x:f>
      </x:c>
      <x:c r="E134" s="19">
        <x:f>IF(A134="","",Journal_Import!D134)</x:f>
      </x:c>
      <x:c r="F134" s="19">
        <x:f>IF(A134="","",Journal_Import!F134)</x:f>
      </x:c>
      <x:c r="G134" s="19">
        <x:f>IF(A134="","",Journal_Import!G134)</x:f>
      </x:c>
      <x:c r="H134" s="19">
        <x:f>IF(A134="","",Journal_Import!H134)</x:f>
      </x:c>
      <x:c r="I134" s="12">
        <x:f>IF(A134="","",Journal_Import!S134)</x:f>
      </x:c>
      <x:c r="J134" s="12">
        <x:f>IF(A134="","",Journal_Import!T134)</x:f>
      </x:c>
      <x:c r="K134" s="12">
        <x:f>IF(C134="","",IF(C134=C133,K133+I134-J134,IFERROR(INDEX(COA_Master!$N:$N,MATCH(C134,COA_Master!$A:$A,0)),0)+I134-J134))</x:f>
      </x:c>
      <x:c r="L134" s="19">
        <x:f>IF(A134="","",IF(IFERROR(INDEX(COA_Master!$G:$G,MATCH(C134,COA_Master!$A:$A,0)),"Debit")="Debit",IF(K134&gt;=0,"Debit","Credit"),IF(K134&gt;=0,"Credit","Debit")))</x:f>
      </x:c>
      <x:c r="M134" s="19">
        <x:f>IF(A134="","",Journal_Import!V134)</x:f>
      </x:c>
      <x:c r="N134" s="19">
        <x:f>IF(A134="","",Journal_Import!W134)</x:f>
      </x:c>
      <x:c r="O134" s="19">
        <x:f>IF(A134="","",Journal_Import!Z134)</x:f>
      </x:c>
    </x:row>
    <x:row r="135">
      <x:c r="A135" s="18">
        <x:f>IF(Journal_Import!A135="","",Journal_Import!A135)</x:f>
      </x:c>
      <x:c r="B135" s="18">
        <x:f>IF(A135="","",Journal_Import!B135)</x:f>
      </x:c>
      <x:c r="C135" s="18">
        <x:f>IF(A135="","",Journal_Import!I135)</x:f>
      </x:c>
      <x:c r="D135" s="18">
        <x:f>IF(A135="","",Journal_Import!J135)</x:f>
      </x:c>
      <x:c r="E135" s="19">
        <x:f>IF(A135="","",Journal_Import!D135)</x:f>
      </x:c>
      <x:c r="F135" s="19">
        <x:f>IF(A135="","",Journal_Import!F135)</x:f>
      </x:c>
      <x:c r="G135" s="19">
        <x:f>IF(A135="","",Journal_Import!G135)</x:f>
      </x:c>
      <x:c r="H135" s="19">
        <x:f>IF(A135="","",Journal_Import!H135)</x:f>
      </x:c>
      <x:c r="I135" s="12">
        <x:f>IF(A135="","",Journal_Import!S135)</x:f>
      </x:c>
      <x:c r="J135" s="12">
        <x:f>IF(A135="","",Journal_Import!T135)</x:f>
      </x:c>
      <x:c r="K135" s="12">
        <x:f>IF(C135="","",IF(C135=C134,K134+I135-J135,IFERROR(INDEX(COA_Master!$N:$N,MATCH(C135,COA_Master!$A:$A,0)),0)+I135-J135))</x:f>
      </x:c>
      <x:c r="L135" s="19">
        <x:f>IF(A135="","",IF(IFERROR(INDEX(COA_Master!$G:$G,MATCH(C135,COA_Master!$A:$A,0)),"Debit")="Debit",IF(K135&gt;=0,"Debit","Credit"),IF(K135&gt;=0,"Credit","Debit")))</x:f>
      </x:c>
      <x:c r="M135" s="19">
        <x:f>IF(A135="","",Journal_Import!V135)</x:f>
      </x:c>
      <x:c r="N135" s="19">
        <x:f>IF(A135="","",Journal_Import!W135)</x:f>
      </x:c>
      <x:c r="O135" s="19">
        <x:f>IF(A135="","",Journal_Import!Z135)</x:f>
      </x:c>
    </x:row>
    <x:row r="136">
      <x:c r="A136" s="18">
        <x:f>IF(Journal_Import!A136="","",Journal_Import!A136)</x:f>
      </x:c>
      <x:c r="B136" s="18">
        <x:f>IF(A136="","",Journal_Import!B136)</x:f>
      </x:c>
      <x:c r="C136" s="18">
        <x:f>IF(A136="","",Journal_Import!I136)</x:f>
      </x:c>
      <x:c r="D136" s="18">
        <x:f>IF(A136="","",Journal_Import!J136)</x:f>
      </x:c>
      <x:c r="E136" s="19">
        <x:f>IF(A136="","",Journal_Import!D136)</x:f>
      </x:c>
      <x:c r="F136" s="19">
        <x:f>IF(A136="","",Journal_Import!F136)</x:f>
      </x:c>
      <x:c r="G136" s="19">
        <x:f>IF(A136="","",Journal_Import!G136)</x:f>
      </x:c>
      <x:c r="H136" s="19">
        <x:f>IF(A136="","",Journal_Import!H136)</x:f>
      </x:c>
      <x:c r="I136" s="12">
        <x:f>IF(A136="","",Journal_Import!S136)</x:f>
      </x:c>
      <x:c r="J136" s="12">
        <x:f>IF(A136="","",Journal_Import!T136)</x:f>
      </x:c>
      <x:c r="K136" s="12">
        <x:f>IF(C136="","",IF(C136=C135,K135+I136-J136,IFERROR(INDEX(COA_Master!$N:$N,MATCH(C136,COA_Master!$A:$A,0)),0)+I136-J136))</x:f>
      </x:c>
      <x:c r="L136" s="19">
        <x:f>IF(A136="","",IF(IFERROR(INDEX(COA_Master!$G:$G,MATCH(C136,COA_Master!$A:$A,0)),"Debit")="Debit",IF(K136&gt;=0,"Debit","Credit"),IF(K136&gt;=0,"Credit","Debit")))</x:f>
      </x:c>
      <x:c r="M136" s="19">
        <x:f>IF(A136="","",Journal_Import!V136)</x:f>
      </x:c>
      <x:c r="N136" s="19">
        <x:f>IF(A136="","",Journal_Import!W136)</x:f>
      </x:c>
      <x:c r="O136" s="19">
        <x:f>IF(A136="","",Journal_Import!Z136)</x:f>
      </x:c>
    </x:row>
    <x:row r="137">
      <x:c r="A137" s="18">
        <x:f>IF(Journal_Import!A137="","",Journal_Import!A137)</x:f>
      </x:c>
      <x:c r="B137" s="18">
        <x:f>IF(A137="","",Journal_Import!B137)</x:f>
      </x:c>
      <x:c r="C137" s="18">
        <x:f>IF(A137="","",Journal_Import!I137)</x:f>
      </x:c>
      <x:c r="D137" s="18">
        <x:f>IF(A137="","",Journal_Import!J137)</x:f>
      </x:c>
      <x:c r="E137" s="19">
        <x:f>IF(A137="","",Journal_Import!D137)</x:f>
      </x:c>
      <x:c r="F137" s="19">
        <x:f>IF(A137="","",Journal_Import!F137)</x:f>
      </x:c>
      <x:c r="G137" s="19">
        <x:f>IF(A137="","",Journal_Import!G137)</x:f>
      </x:c>
      <x:c r="H137" s="19">
        <x:f>IF(A137="","",Journal_Import!H137)</x:f>
      </x:c>
      <x:c r="I137" s="12">
        <x:f>IF(A137="","",Journal_Import!S137)</x:f>
      </x:c>
      <x:c r="J137" s="12">
        <x:f>IF(A137="","",Journal_Import!T137)</x:f>
      </x:c>
      <x:c r="K137" s="12">
        <x:f>IF(C137="","",IF(C137=C136,K136+I137-J137,IFERROR(INDEX(COA_Master!$N:$N,MATCH(C137,COA_Master!$A:$A,0)),0)+I137-J137))</x:f>
      </x:c>
      <x:c r="L137" s="19">
        <x:f>IF(A137="","",IF(IFERROR(INDEX(COA_Master!$G:$G,MATCH(C137,COA_Master!$A:$A,0)),"Debit")="Debit",IF(K137&gt;=0,"Debit","Credit"),IF(K137&gt;=0,"Credit","Debit")))</x:f>
      </x:c>
      <x:c r="M137" s="19">
        <x:f>IF(A137="","",Journal_Import!V137)</x:f>
      </x:c>
      <x:c r="N137" s="19">
        <x:f>IF(A137="","",Journal_Import!W137)</x:f>
      </x:c>
      <x:c r="O137" s="19">
        <x:f>IF(A137="","",Journal_Import!Z137)</x:f>
      </x:c>
    </x:row>
    <x:row r="138">
      <x:c r="A138" s="18">
        <x:f>IF(Journal_Import!A138="","",Journal_Import!A138)</x:f>
      </x:c>
      <x:c r="B138" s="18">
        <x:f>IF(A138="","",Journal_Import!B138)</x:f>
      </x:c>
      <x:c r="C138" s="18">
        <x:f>IF(A138="","",Journal_Import!I138)</x:f>
      </x:c>
      <x:c r="D138" s="18">
        <x:f>IF(A138="","",Journal_Import!J138)</x:f>
      </x:c>
      <x:c r="E138" s="19">
        <x:f>IF(A138="","",Journal_Import!D138)</x:f>
      </x:c>
      <x:c r="F138" s="19">
        <x:f>IF(A138="","",Journal_Import!F138)</x:f>
      </x:c>
      <x:c r="G138" s="19">
        <x:f>IF(A138="","",Journal_Import!G138)</x:f>
      </x:c>
      <x:c r="H138" s="19">
        <x:f>IF(A138="","",Journal_Import!H138)</x:f>
      </x:c>
      <x:c r="I138" s="12">
        <x:f>IF(A138="","",Journal_Import!S138)</x:f>
      </x:c>
      <x:c r="J138" s="12">
        <x:f>IF(A138="","",Journal_Import!T138)</x:f>
      </x:c>
      <x:c r="K138" s="12">
        <x:f>IF(C138="","",IF(C138=C137,K137+I138-J138,IFERROR(INDEX(COA_Master!$N:$N,MATCH(C138,COA_Master!$A:$A,0)),0)+I138-J138))</x:f>
      </x:c>
      <x:c r="L138" s="19">
        <x:f>IF(A138="","",IF(IFERROR(INDEX(COA_Master!$G:$G,MATCH(C138,COA_Master!$A:$A,0)),"Debit")="Debit",IF(K138&gt;=0,"Debit","Credit"),IF(K138&gt;=0,"Credit","Debit")))</x:f>
      </x:c>
      <x:c r="M138" s="19">
        <x:f>IF(A138="","",Journal_Import!V138)</x:f>
      </x:c>
      <x:c r="N138" s="19">
        <x:f>IF(A138="","",Journal_Import!W138)</x:f>
      </x:c>
      <x:c r="O138" s="19">
        <x:f>IF(A138="","",Journal_Import!Z138)</x:f>
      </x:c>
    </x:row>
    <x:row r="139">
      <x:c r="A139" s="18">
        <x:f>IF(Journal_Import!A139="","",Journal_Import!A139)</x:f>
      </x:c>
      <x:c r="B139" s="18">
        <x:f>IF(A139="","",Journal_Import!B139)</x:f>
      </x:c>
      <x:c r="C139" s="18">
        <x:f>IF(A139="","",Journal_Import!I139)</x:f>
      </x:c>
      <x:c r="D139" s="18">
        <x:f>IF(A139="","",Journal_Import!J139)</x:f>
      </x:c>
      <x:c r="E139" s="19">
        <x:f>IF(A139="","",Journal_Import!D139)</x:f>
      </x:c>
      <x:c r="F139" s="19">
        <x:f>IF(A139="","",Journal_Import!F139)</x:f>
      </x:c>
      <x:c r="G139" s="19">
        <x:f>IF(A139="","",Journal_Import!G139)</x:f>
      </x:c>
      <x:c r="H139" s="19">
        <x:f>IF(A139="","",Journal_Import!H139)</x:f>
      </x:c>
      <x:c r="I139" s="12">
        <x:f>IF(A139="","",Journal_Import!S139)</x:f>
      </x:c>
      <x:c r="J139" s="12">
        <x:f>IF(A139="","",Journal_Import!T139)</x:f>
      </x:c>
      <x:c r="K139" s="12">
        <x:f>IF(C139="","",IF(C139=C138,K138+I139-J139,IFERROR(INDEX(COA_Master!$N:$N,MATCH(C139,COA_Master!$A:$A,0)),0)+I139-J139))</x:f>
      </x:c>
      <x:c r="L139" s="19">
        <x:f>IF(A139="","",IF(IFERROR(INDEX(COA_Master!$G:$G,MATCH(C139,COA_Master!$A:$A,0)),"Debit")="Debit",IF(K139&gt;=0,"Debit","Credit"),IF(K139&gt;=0,"Credit","Debit")))</x:f>
      </x:c>
      <x:c r="M139" s="19">
        <x:f>IF(A139="","",Journal_Import!V139)</x:f>
      </x:c>
      <x:c r="N139" s="19">
        <x:f>IF(A139="","",Journal_Import!W139)</x:f>
      </x:c>
      <x:c r="O139" s="19">
        <x:f>IF(A139="","",Journal_Import!Z139)</x:f>
      </x:c>
    </x:row>
    <x:row r="140">
      <x:c r="A140" s="18">
        <x:f>IF(Journal_Import!A140="","",Journal_Import!A140)</x:f>
      </x:c>
      <x:c r="B140" s="18">
        <x:f>IF(A140="","",Journal_Import!B140)</x:f>
      </x:c>
      <x:c r="C140" s="18">
        <x:f>IF(A140="","",Journal_Import!I140)</x:f>
      </x:c>
      <x:c r="D140" s="18">
        <x:f>IF(A140="","",Journal_Import!J140)</x:f>
      </x:c>
      <x:c r="E140" s="19">
        <x:f>IF(A140="","",Journal_Import!D140)</x:f>
      </x:c>
      <x:c r="F140" s="19">
        <x:f>IF(A140="","",Journal_Import!F140)</x:f>
      </x:c>
      <x:c r="G140" s="19">
        <x:f>IF(A140="","",Journal_Import!G140)</x:f>
      </x:c>
      <x:c r="H140" s="19">
        <x:f>IF(A140="","",Journal_Import!H140)</x:f>
      </x:c>
      <x:c r="I140" s="12">
        <x:f>IF(A140="","",Journal_Import!S140)</x:f>
      </x:c>
      <x:c r="J140" s="12">
        <x:f>IF(A140="","",Journal_Import!T140)</x:f>
      </x:c>
      <x:c r="K140" s="12">
        <x:f>IF(C140="","",IF(C140=C139,K139+I140-J140,IFERROR(INDEX(COA_Master!$N:$N,MATCH(C140,COA_Master!$A:$A,0)),0)+I140-J140))</x:f>
      </x:c>
      <x:c r="L140" s="19">
        <x:f>IF(A140="","",IF(IFERROR(INDEX(COA_Master!$G:$G,MATCH(C140,COA_Master!$A:$A,0)),"Debit")="Debit",IF(K140&gt;=0,"Debit","Credit"),IF(K140&gt;=0,"Credit","Debit")))</x:f>
      </x:c>
      <x:c r="M140" s="19">
        <x:f>IF(A140="","",Journal_Import!V140)</x:f>
      </x:c>
      <x:c r="N140" s="19">
        <x:f>IF(A140="","",Journal_Import!W140)</x:f>
      </x:c>
      <x:c r="O140" s="19">
        <x:f>IF(A140="","",Journal_Import!Z140)</x:f>
      </x:c>
    </x:row>
    <x:row r="141">
      <x:c r="A141" s="18">
        <x:f>IF(Journal_Import!A141="","",Journal_Import!A141)</x:f>
      </x:c>
      <x:c r="B141" s="18">
        <x:f>IF(A141="","",Journal_Import!B141)</x:f>
      </x:c>
      <x:c r="C141" s="18">
        <x:f>IF(A141="","",Journal_Import!I141)</x:f>
      </x:c>
      <x:c r="D141" s="18">
        <x:f>IF(A141="","",Journal_Import!J141)</x:f>
      </x:c>
      <x:c r="E141" s="19">
        <x:f>IF(A141="","",Journal_Import!D141)</x:f>
      </x:c>
      <x:c r="F141" s="19">
        <x:f>IF(A141="","",Journal_Import!F141)</x:f>
      </x:c>
      <x:c r="G141" s="19">
        <x:f>IF(A141="","",Journal_Import!G141)</x:f>
      </x:c>
      <x:c r="H141" s="19">
        <x:f>IF(A141="","",Journal_Import!H141)</x:f>
      </x:c>
      <x:c r="I141" s="12">
        <x:f>IF(A141="","",Journal_Import!S141)</x:f>
      </x:c>
      <x:c r="J141" s="12">
        <x:f>IF(A141="","",Journal_Import!T141)</x:f>
      </x:c>
      <x:c r="K141" s="12">
        <x:f>IF(C141="","",IF(C141=C140,K140+I141-J141,IFERROR(INDEX(COA_Master!$N:$N,MATCH(C141,COA_Master!$A:$A,0)),0)+I141-J141))</x:f>
      </x:c>
      <x:c r="L141" s="19">
        <x:f>IF(A141="","",IF(IFERROR(INDEX(COA_Master!$G:$G,MATCH(C141,COA_Master!$A:$A,0)),"Debit")="Debit",IF(K141&gt;=0,"Debit","Credit"),IF(K141&gt;=0,"Credit","Debit")))</x:f>
      </x:c>
      <x:c r="M141" s="19">
        <x:f>IF(A141="","",Journal_Import!V141)</x:f>
      </x:c>
      <x:c r="N141" s="19">
        <x:f>IF(A141="","",Journal_Import!W141)</x:f>
      </x:c>
      <x:c r="O141" s="19">
        <x:f>IF(A141="","",Journal_Import!Z141)</x:f>
      </x:c>
    </x:row>
    <x:row r="142">
      <x:c r="A142" s="18">
        <x:f>IF(Journal_Import!A142="","",Journal_Import!A142)</x:f>
      </x:c>
      <x:c r="B142" s="18">
        <x:f>IF(A142="","",Journal_Import!B142)</x:f>
      </x:c>
      <x:c r="C142" s="18">
        <x:f>IF(A142="","",Journal_Import!I142)</x:f>
      </x:c>
      <x:c r="D142" s="18">
        <x:f>IF(A142="","",Journal_Import!J142)</x:f>
      </x:c>
      <x:c r="E142" s="19">
        <x:f>IF(A142="","",Journal_Import!D142)</x:f>
      </x:c>
      <x:c r="F142" s="19">
        <x:f>IF(A142="","",Journal_Import!F142)</x:f>
      </x:c>
      <x:c r="G142" s="19">
        <x:f>IF(A142="","",Journal_Import!G142)</x:f>
      </x:c>
      <x:c r="H142" s="19">
        <x:f>IF(A142="","",Journal_Import!H142)</x:f>
      </x:c>
      <x:c r="I142" s="12">
        <x:f>IF(A142="","",Journal_Import!S142)</x:f>
      </x:c>
      <x:c r="J142" s="12">
        <x:f>IF(A142="","",Journal_Import!T142)</x:f>
      </x:c>
      <x:c r="K142" s="12">
        <x:f>IF(C142="","",IF(C142=C141,K141+I142-J142,IFERROR(INDEX(COA_Master!$N:$N,MATCH(C142,COA_Master!$A:$A,0)),0)+I142-J142))</x:f>
      </x:c>
      <x:c r="L142" s="19">
        <x:f>IF(A142="","",IF(IFERROR(INDEX(COA_Master!$G:$G,MATCH(C142,COA_Master!$A:$A,0)),"Debit")="Debit",IF(K142&gt;=0,"Debit","Credit"),IF(K142&gt;=0,"Credit","Debit")))</x:f>
      </x:c>
      <x:c r="M142" s="19">
        <x:f>IF(A142="","",Journal_Import!V142)</x:f>
      </x:c>
      <x:c r="N142" s="19">
        <x:f>IF(A142="","",Journal_Import!W142)</x:f>
      </x:c>
      <x:c r="O142" s="19">
        <x:f>IF(A142="","",Journal_Import!Z142)</x:f>
      </x:c>
    </x:row>
    <x:row r="143">
      <x:c r="A143" s="18">
        <x:f>IF(Journal_Import!A143="","",Journal_Import!A143)</x:f>
      </x:c>
      <x:c r="B143" s="18">
        <x:f>IF(A143="","",Journal_Import!B143)</x:f>
      </x:c>
      <x:c r="C143" s="18">
        <x:f>IF(A143="","",Journal_Import!I143)</x:f>
      </x:c>
      <x:c r="D143" s="18">
        <x:f>IF(A143="","",Journal_Import!J143)</x:f>
      </x:c>
      <x:c r="E143" s="19">
        <x:f>IF(A143="","",Journal_Import!D143)</x:f>
      </x:c>
      <x:c r="F143" s="19">
        <x:f>IF(A143="","",Journal_Import!F143)</x:f>
      </x:c>
      <x:c r="G143" s="19">
        <x:f>IF(A143="","",Journal_Import!G143)</x:f>
      </x:c>
      <x:c r="H143" s="19">
        <x:f>IF(A143="","",Journal_Import!H143)</x:f>
      </x:c>
      <x:c r="I143" s="12">
        <x:f>IF(A143="","",Journal_Import!S143)</x:f>
      </x:c>
      <x:c r="J143" s="12">
        <x:f>IF(A143="","",Journal_Import!T143)</x:f>
      </x:c>
      <x:c r="K143" s="12">
        <x:f>IF(C143="","",IF(C143=C142,K142+I143-J143,IFERROR(INDEX(COA_Master!$N:$N,MATCH(C143,COA_Master!$A:$A,0)),0)+I143-J143))</x:f>
      </x:c>
      <x:c r="L143" s="19">
        <x:f>IF(A143="","",IF(IFERROR(INDEX(COA_Master!$G:$G,MATCH(C143,COA_Master!$A:$A,0)),"Debit")="Debit",IF(K143&gt;=0,"Debit","Credit"),IF(K143&gt;=0,"Credit","Debit")))</x:f>
      </x:c>
      <x:c r="M143" s="19">
        <x:f>IF(A143="","",Journal_Import!V143)</x:f>
      </x:c>
      <x:c r="N143" s="19">
        <x:f>IF(A143="","",Journal_Import!W143)</x:f>
      </x:c>
      <x:c r="O143" s="19">
        <x:f>IF(A143="","",Journal_Import!Z143)</x:f>
      </x:c>
    </x:row>
    <x:row r="144">
      <x:c r="A144" s="18">
        <x:f>IF(Journal_Import!A144="","",Journal_Import!A144)</x:f>
      </x:c>
      <x:c r="B144" s="18">
        <x:f>IF(A144="","",Journal_Import!B144)</x:f>
      </x:c>
      <x:c r="C144" s="18">
        <x:f>IF(A144="","",Journal_Import!I144)</x:f>
      </x:c>
      <x:c r="D144" s="18">
        <x:f>IF(A144="","",Journal_Import!J144)</x:f>
      </x:c>
      <x:c r="E144" s="19">
        <x:f>IF(A144="","",Journal_Import!D144)</x:f>
      </x:c>
      <x:c r="F144" s="19">
        <x:f>IF(A144="","",Journal_Import!F144)</x:f>
      </x:c>
      <x:c r="G144" s="19">
        <x:f>IF(A144="","",Journal_Import!G144)</x:f>
      </x:c>
      <x:c r="H144" s="19">
        <x:f>IF(A144="","",Journal_Import!H144)</x:f>
      </x:c>
      <x:c r="I144" s="12">
        <x:f>IF(A144="","",Journal_Import!S144)</x:f>
      </x:c>
      <x:c r="J144" s="12">
        <x:f>IF(A144="","",Journal_Import!T144)</x:f>
      </x:c>
      <x:c r="K144" s="12">
        <x:f>IF(C144="","",IF(C144=C143,K143+I144-J144,IFERROR(INDEX(COA_Master!$N:$N,MATCH(C144,COA_Master!$A:$A,0)),0)+I144-J144))</x:f>
      </x:c>
      <x:c r="L144" s="19">
        <x:f>IF(A144="","",IF(IFERROR(INDEX(COA_Master!$G:$G,MATCH(C144,COA_Master!$A:$A,0)),"Debit")="Debit",IF(K144&gt;=0,"Debit","Credit"),IF(K144&gt;=0,"Credit","Debit")))</x:f>
      </x:c>
      <x:c r="M144" s="19">
        <x:f>IF(A144="","",Journal_Import!V144)</x:f>
      </x:c>
      <x:c r="N144" s="19">
        <x:f>IF(A144="","",Journal_Import!W144)</x:f>
      </x:c>
      <x:c r="O144" s="19">
        <x:f>IF(A144="","",Journal_Import!Z144)</x:f>
      </x:c>
    </x:row>
    <x:row r="145">
      <x:c r="A145" s="18">
        <x:f>IF(Journal_Import!A145="","",Journal_Import!A145)</x:f>
      </x:c>
      <x:c r="B145" s="18">
        <x:f>IF(A145="","",Journal_Import!B145)</x:f>
      </x:c>
      <x:c r="C145" s="18">
        <x:f>IF(A145="","",Journal_Import!I145)</x:f>
      </x:c>
      <x:c r="D145" s="18">
        <x:f>IF(A145="","",Journal_Import!J145)</x:f>
      </x:c>
      <x:c r="E145" s="19">
        <x:f>IF(A145="","",Journal_Import!D145)</x:f>
      </x:c>
      <x:c r="F145" s="19">
        <x:f>IF(A145="","",Journal_Import!F145)</x:f>
      </x:c>
      <x:c r="G145" s="19">
        <x:f>IF(A145="","",Journal_Import!G145)</x:f>
      </x:c>
      <x:c r="H145" s="19">
        <x:f>IF(A145="","",Journal_Import!H145)</x:f>
      </x:c>
      <x:c r="I145" s="12">
        <x:f>IF(A145="","",Journal_Import!S145)</x:f>
      </x:c>
      <x:c r="J145" s="12">
        <x:f>IF(A145="","",Journal_Import!T145)</x:f>
      </x:c>
      <x:c r="K145" s="12">
        <x:f>IF(C145="","",IF(C145=C144,K144+I145-J145,IFERROR(INDEX(COA_Master!$N:$N,MATCH(C145,COA_Master!$A:$A,0)),0)+I145-J145))</x:f>
      </x:c>
      <x:c r="L145" s="19">
        <x:f>IF(A145="","",IF(IFERROR(INDEX(COA_Master!$G:$G,MATCH(C145,COA_Master!$A:$A,0)),"Debit")="Debit",IF(K145&gt;=0,"Debit","Credit"),IF(K145&gt;=0,"Credit","Debit")))</x:f>
      </x:c>
      <x:c r="M145" s="19">
        <x:f>IF(A145="","",Journal_Import!V145)</x:f>
      </x:c>
      <x:c r="N145" s="19">
        <x:f>IF(A145="","",Journal_Import!W145)</x:f>
      </x:c>
      <x:c r="O145" s="19">
        <x:f>IF(A145="","",Journal_Import!Z145)</x:f>
      </x:c>
    </x:row>
    <x:row r="146">
      <x:c r="A146" s="18">
        <x:f>IF(Journal_Import!A146="","",Journal_Import!A146)</x:f>
      </x:c>
      <x:c r="B146" s="18">
        <x:f>IF(A146="","",Journal_Import!B146)</x:f>
      </x:c>
      <x:c r="C146" s="18">
        <x:f>IF(A146="","",Journal_Import!I146)</x:f>
      </x:c>
      <x:c r="D146" s="18">
        <x:f>IF(A146="","",Journal_Import!J146)</x:f>
      </x:c>
      <x:c r="E146" s="19">
        <x:f>IF(A146="","",Journal_Import!D146)</x:f>
      </x:c>
      <x:c r="F146" s="19">
        <x:f>IF(A146="","",Journal_Import!F146)</x:f>
      </x:c>
      <x:c r="G146" s="19">
        <x:f>IF(A146="","",Journal_Import!G146)</x:f>
      </x:c>
      <x:c r="H146" s="19">
        <x:f>IF(A146="","",Journal_Import!H146)</x:f>
      </x:c>
      <x:c r="I146" s="12">
        <x:f>IF(A146="","",Journal_Import!S146)</x:f>
      </x:c>
      <x:c r="J146" s="12">
        <x:f>IF(A146="","",Journal_Import!T146)</x:f>
      </x:c>
      <x:c r="K146" s="12">
        <x:f>IF(C146="","",IF(C146=C145,K145+I146-J146,IFERROR(INDEX(COA_Master!$N:$N,MATCH(C146,COA_Master!$A:$A,0)),0)+I146-J146))</x:f>
      </x:c>
      <x:c r="L146" s="19">
        <x:f>IF(A146="","",IF(IFERROR(INDEX(COA_Master!$G:$G,MATCH(C146,COA_Master!$A:$A,0)),"Debit")="Debit",IF(K146&gt;=0,"Debit","Credit"),IF(K146&gt;=0,"Credit","Debit")))</x:f>
      </x:c>
      <x:c r="M146" s="19">
        <x:f>IF(A146="","",Journal_Import!V146)</x:f>
      </x:c>
      <x:c r="N146" s="19">
        <x:f>IF(A146="","",Journal_Import!W146)</x:f>
      </x:c>
      <x:c r="O146" s="19">
        <x:f>IF(A146="","",Journal_Import!Z146)</x:f>
      </x:c>
    </x:row>
    <x:row r="147">
      <x:c r="A147" s="18">
        <x:f>IF(Journal_Import!A147="","",Journal_Import!A147)</x:f>
      </x:c>
      <x:c r="B147" s="18">
        <x:f>IF(A147="","",Journal_Import!B147)</x:f>
      </x:c>
      <x:c r="C147" s="18">
        <x:f>IF(A147="","",Journal_Import!I147)</x:f>
      </x:c>
      <x:c r="D147" s="18">
        <x:f>IF(A147="","",Journal_Import!J147)</x:f>
      </x:c>
      <x:c r="E147" s="19">
        <x:f>IF(A147="","",Journal_Import!D147)</x:f>
      </x:c>
      <x:c r="F147" s="19">
        <x:f>IF(A147="","",Journal_Import!F147)</x:f>
      </x:c>
      <x:c r="G147" s="19">
        <x:f>IF(A147="","",Journal_Import!G147)</x:f>
      </x:c>
      <x:c r="H147" s="19">
        <x:f>IF(A147="","",Journal_Import!H147)</x:f>
      </x:c>
      <x:c r="I147" s="12">
        <x:f>IF(A147="","",Journal_Import!S147)</x:f>
      </x:c>
      <x:c r="J147" s="12">
        <x:f>IF(A147="","",Journal_Import!T147)</x:f>
      </x:c>
      <x:c r="K147" s="12">
        <x:f>IF(C147="","",IF(C147=C146,K146+I147-J147,IFERROR(INDEX(COA_Master!$N:$N,MATCH(C147,COA_Master!$A:$A,0)),0)+I147-J147))</x:f>
      </x:c>
      <x:c r="L147" s="19">
        <x:f>IF(A147="","",IF(IFERROR(INDEX(COA_Master!$G:$G,MATCH(C147,COA_Master!$A:$A,0)),"Debit")="Debit",IF(K147&gt;=0,"Debit","Credit"),IF(K147&gt;=0,"Credit","Debit")))</x:f>
      </x:c>
      <x:c r="M147" s="19">
        <x:f>IF(A147="","",Journal_Import!V147)</x:f>
      </x:c>
      <x:c r="N147" s="19">
        <x:f>IF(A147="","",Journal_Import!W147)</x:f>
      </x:c>
      <x:c r="O147" s="19">
        <x:f>IF(A147="","",Journal_Import!Z147)</x:f>
      </x:c>
    </x:row>
    <x:row r="148">
      <x:c r="A148" s="18">
        <x:f>IF(Journal_Import!A148="","",Journal_Import!A148)</x:f>
      </x:c>
      <x:c r="B148" s="18">
        <x:f>IF(A148="","",Journal_Import!B148)</x:f>
      </x:c>
      <x:c r="C148" s="18">
        <x:f>IF(A148="","",Journal_Import!I148)</x:f>
      </x:c>
      <x:c r="D148" s="18">
        <x:f>IF(A148="","",Journal_Import!J148)</x:f>
      </x:c>
      <x:c r="E148" s="19">
        <x:f>IF(A148="","",Journal_Import!D148)</x:f>
      </x:c>
      <x:c r="F148" s="19">
        <x:f>IF(A148="","",Journal_Import!F148)</x:f>
      </x:c>
      <x:c r="G148" s="19">
        <x:f>IF(A148="","",Journal_Import!G148)</x:f>
      </x:c>
      <x:c r="H148" s="19">
        <x:f>IF(A148="","",Journal_Import!H148)</x:f>
      </x:c>
      <x:c r="I148" s="12">
        <x:f>IF(A148="","",Journal_Import!S148)</x:f>
      </x:c>
      <x:c r="J148" s="12">
        <x:f>IF(A148="","",Journal_Import!T148)</x:f>
      </x:c>
      <x:c r="K148" s="12">
        <x:f>IF(C148="","",IF(C148=C147,K147+I148-J148,IFERROR(INDEX(COA_Master!$N:$N,MATCH(C148,COA_Master!$A:$A,0)),0)+I148-J148))</x:f>
      </x:c>
      <x:c r="L148" s="19">
        <x:f>IF(A148="","",IF(IFERROR(INDEX(COA_Master!$G:$G,MATCH(C148,COA_Master!$A:$A,0)),"Debit")="Debit",IF(K148&gt;=0,"Debit","Credit"),IF(K148&gt;=0,"Credit","Debit")))</x:f>
      </x:c>
      <x:c r="M148" s="19">
        <x:f>IF(A148="","",Journal_Import!V148)</x:f>
      </x:c>
      <x:c r="N148" s="19">
        <x:f>IF(A148="","",Journal_Import!W148)</x:f>
      </x:c>
      <x:c r="O148" s="19">
        <x:f>IF(A148="","",Journal_Import!Z148)</x:f>
      </x:c>
    </x:row>
    <x:row r="149">
      <x:c r="A149" s="18">
        <x:f>IF(Journal_Import!A149="","",Journal_Import!A149)</x:f>
      </x:c>
      <x:c r="B149" s="18">
        <x:f>IF(A149="","",Journal_Import!B149)</x:f>
      </x:c>
      <x:c r="C149" s="18">
        <x:f>IF(A149="","",Journal_Import!I149)</x:f>
      </x:c>
      <x:c r="D149" s="18">
        <x:f>IF(A149="","",Journal_Import!J149)</x:f>
      </x:c>
      <x:c r="E149" s="19">
        <x:f>IF(A149="","",Journal_Import!D149)</x:f>
      </x:c>
      <x:c r="F149" s="19">
        <x:f>IF(A149="","",Journal_Import!F149)</x:f>
      </x:c>
      <x:c r="G149" s="19">
        <x:f>IF(A149="","",Journal_Import!G149)</x:f>
      </x:c>
      <x:c r="H149" s="19">
        <x:f>IF(A149="","",Journal_Import!H149)</x:f>
      </x:c>
      <x:c r="I149" s="12">
        <x:f>IF(A149="","",Journal_Import!S149)</x:f>
      </x:c>
      <x:c r="J149" s="12">
        <x:f>IF(A149="","",Journal_Import!T149)</x:f>
      </x:c>
      <x:c r="K149" s="12">
        <x:f>IF(C149="","",IF(C149=C148,K148+I149-J149,IFERROR(INDEX(COA_Master!$N:$N,MATCH(C149,COA_Master!$A:$A,0)),0)+I149-J149))</x:f>
      </x:c>
      <x:c r="L149" s="19">
        <x:f>IF(A149="","",IF(IFERROR(INDEX(COA_Master!$G:$G,MATCH(C149,COA_Master!$A:$A,0)),"Debit")="Debit",IF(K149&gt;=0,"Debit","Credit"),IF(K149&gt;=0,"Credit","Debit")))</x:f>
      </x:c>
      <x:c r="M149" s="19">
        <x:f>IF(A149="","",Journal_Import!V149)</x:f>
      </x:c>
      <x:c r="N149" s="19">
        <x:f>IF(A149="","",Journal_Import!W149)</x:f>
      </x:c>
      <x:c r="O149" s="19">
        <x:f>IF(A149="","",Journal_Import!Z149)</x:f>
      </x:c>
    </x:row>
    <x:row r="150">
      <x:c r="A150" s="18">
        <x:f>IF(Journal_Import!A150="","",Journal_Import!A150)</x:f>
      </x:c>
      <x:c r="B150" s="18">
        <x:f>IF(A150="","",Journal_Import!B150)</x:f>
      </x:c>
      <x:c r="C150" s="18">
        <x:f>IF(A150="","",Journal_Import!I150)</x:f>
      </x:c>
      <x:c r="D150" s="18">
        <x:f>IF(A150="","",Journal_Import!J150)</x:f>
      </x:c>
      <x:c r="E150" s="19">
        <x:f>IF(A150="","",Journal_Import!D150)</x:f>
      </x:c>
      <x:c r="F150" s="19">
        <x:f>IF(A150="","",Journal_Import!F150)</x:f>
      </x:c>
      <x:c r="G150" s="19">
        <x:f>IF(A150="","",Journal_Import!G150)</x:f>
      </x:c>
      <x:c r="H150" s="19">
        <x:f>IF(A150="","",Journal_Import!H150)</x:f>
      </x:c>
      <x:c r="I150" s="12">
        <x:f>IF(A150="","",Journal_Import!S150)</x:f>
      </x:c>
      <x:c r="J150" s="12">
        <x:f>IF(A150="","",Journal_Import!T150)</x:f>
      </x:c>
      <x:c r="K150" s="12">
        <x:f>IF(C150="","",IF(C150=C149,K149+I150-J150,IFERROR(INDEX(COA_Master!$N:$N,MATCH(C150,COA_Master!$A:$A,0)),0)+I150-J150))</x:f>
      </x:c>
      <x:c r="L150" s="19">
        <x:f>IF(A150="","",IF(IFERROR(INDEX(COA_Master!$G:$G,MATCH(C150,COA_Master!$A:$A,0)),"Debit")="Debit",IF(K150&gt;=0,"Debit","Credit"),IF(K150&gt;=0,"Credit","Debit")))</x:f>
      </x:c>
      <x:c r="M150" s="19">
        <x:f>IF(A150="","",Journal_Import!V150)</x:f>
      </x:c>
      <x:c r="N150" s="19">
        <x:f>IF(A150="","",Journal_Import!W150)</x:f>
      </x:c>
      <x:c r="O150" s="19">
        <x:f>IF(A150="","",Journal_Import!Z150)</x:f>
      </x:c>
    </x:row>
    <x:row r="151">
      <x:c r="A151" s="18">
        <x:f>IF(Journal_Import!A151="","",Journal_Import!A151)</x:f>
      </x:c>
      <x:c r="B151" s="18">
        <x:f>IF(A151="","",Journal_Import!B151)</x:f>
      </x:c>
      <x:c r="C151" s="18">
        <x:f>IF(A151="","",Journal_Import!I151)</x:f>
      </x:c>
      <x:c r="D151" s="18">
        <x:f>IF(A151="","",Journal_Import!J151)</x:f>
      </x:c>
      <x:c r="E151" s="19">
        <x:f>IF(A151="","",Journal_Import!D151)</x:f>
      </x:c>
      <x:c r="F151" s="19">
        <x:f>IF(A151="","",Journal_Import!F151)</x:f>
      </x:c>
      <x:c r="G151" s="19">
        <x:f>IF(A151="","",Journal_Import!G151)</x:f>
      </x:c>
      <x:c r="H151" s="19">
        <x:f>IF(A151="","",Journal_Import!H151)</x:f>
      </x:c>
      <x:c r="I151" s="12">
        <x:f>IF(A151="","",Journal_Import!S151)</x:f>
      </x:c>
      <x:c r="J151" s="12">
        <x:f>IF(A151="","",Journal_Import!T151)</x:f>
      </x:c>
      <x:c r="K151" s="12">
        <x:f>IF(C151="","",IF(C151=C150,K150+I151-J151,IFERROR(INDEX(COA_Master!$N:$N,MATCH(C151,COA_Master!$A:$A,0)),0)+I151-J151))</x:f>
      </x:c>
      <x:c r="L151" s="19">
        <x:f>IF(A151="","",IF(IFERROR(INDEX(COA_Master!$G:$G,MATCH(C151,COA_Master!$A:$A,0)),"Debit")="Debit",IF(K151&gt;=0,"Debit","Credit"),IF(K151&gt;=0,"Credit","Debit")))</x:f>
      </x:c>
      <x:c r="M151" s="19">
        <x:f>IF(A151="","",Journal_Import!V151)</x:f>
      </x:c>
      <x:c r="N151" s="19">
        <x:f>IF(A151="","",Journal_Import!W151)</x:f>
      </x:c>
      <x:c r="O151" s="19">
        <x:f>IF(A151="","",Journal_Import!Z151)</x:f>
      </x:c>
    </x:row>
    <x:row r="152">
      <x:c r="A152" s="18">
        <x:f>IF(Journal_Import!A152="","",Journal_Import!A152)</x:f>
      </x:c>
      <x:c r="B152" s="18">
        <x:f>IF(A152="","",Journal_Import!B152)</x:f>
      </x:c>
      <x:c r="C152" s="18">
        <x:f>IF(A152="","",Journal_Import!I152)</x:f>
      </x:c>
      <x:c r="D152" s="18">
        <x:f>IF(A152="","",Journal_Import!J152)</x:f>
      </x:c>
      <x:c r="E152" s="19">
        <x:f>IF(A152="","",Journal_Import!D152)</x:f>
      </x:c>
      <x:c r="F152" s="19">
        <x:f>IF(A152="","",Journal_Import!F152)</x:f>
      </x:c>
      <x:c r="G152" s="19">
        <x:f>IF(A152="","",Journal_Import!G152)</x:f>
      </x:c>
      <x:c r="H152" s="19">
        <x:f>IF(A152="","",Journal_Import!H152)</x:f>
      </x:c>
      <x:c r="I152" s="12">
        <x:f>IF(A152="","",Journal_Import!S152)</x:f>
      </x:c>
      <x:c r="J152" s="12">
        <x:f>IF(A152="","",Journal_Import!T152)</x:f>
      </x:c>
      <x:c r="K152" s="12">
        <x:f>IF(C152="","",IF(C152=C151,K151+I152-J152,IFERROR(INDEX(COA_Master!$N:$N,MATCH(C152,COA_Master!$A:$A,0)),0)+I152-J152))</x:f>
      </x:c>
      <x:c r="L152" s="19">
        <x:f>IF(A152="","",IF(IFERROR(INDEX(COA_Master!$G:$G,MATCH(C152,COA_Master!$A:$A,0)),"Debit")="Debit",IF(K152&gt;=0,"Debit","Credit"),IF(K152&gt;=0,"Credit","Debit")))</x:f>
      </x:c>
      <x:c r="M152" s="19">
        <x:f>IF(A152="","",Journal_Import!V152)</x:f>
      </x:c>
      <x:c r="N152" s="19">
        <x:f>IF(A152="","",Journal_Import!W152)</x:f>
      </x:c>
      <x:c r="O152" s="19">
        <x:f>IF(A152="","",Journal_Import!Z152)</x:f>
      </x:c>
    </x:row>
    <x:row r="153">
      <x:c r="A153" s="18">
        <x:f>IF(Journal_Import!A153="","",Journal_Import!A153)</x:f>
      </x:c>
      <x:c r="B153" s="18">
        <x:f>IF(A153="","",Journal_Import!B153)</x:f>
      </x:c>
      <x:c r="C153" s="18">
        <x:f>IF(A153="","",Journal_Import!I153)</x:f>
      </x:c>
      <x:c r="D153" s="18">
        <x:f>IF(A153="","",Journal_Import!J153)</x:f>
      </x:c>
      <x:c r="E153" s="19">
        <x:f>IF(A153="","",Journal_Import!D153)</x:f>
      </x:c>
      <x:c r="F153" s="19">
        <x:f>IF(A153="","",Journal_Import!F153)</x:f>
      </x:c>
      <x:c r="G153" s="19">
        <x:f>IF(A153="","",Journal_Import!G153)</x:f>
      </x:c>
      <x:c r="H153" s="19">
        <x:f>IF(A153="","",Journal_Import!H153)</x:f>
      </x:c>
      <x:c r="I153" s="12">
        <x:f>IF(A153="","",Journal_Import!S153)</x:f>
      </x:c>
      <x:c r="J153" s="12">
        <x:f>IF(A153="","",Journal_Import!T153)</x:f>
      </x:c>
      <x:c r="K153" s="12">
        <x:f>IF(C153="","",IF(C153=C152,K152+I153-J153,IFERROR(INDEX(COA_Master!$N:$N,MATCH(C153,COA_Master!$A:$A,0)),0)+I153-J153))</x:f>
      </x:c>
      <x:c r="L153" s="19">
        <x:f>IF(A153="","",IF(IFERROR(INDEX(COA_Master!$G:$G,MATCH(C153,COA_Master!$A:$A,0)),"Debit")="Debit",IF(K153&gt;=0,"Debit","Credit"),IF(K153&gt;=0,"Credit","Debit")))</x:f>
      </x:c>
      <x:c r="M153" s="19">
        <x:f>IF(A153="","",Journal_Import!V153)</x:f>
      </x:c>
      <x:c r="N153" s="19">
        <x:f>IF(A153="","",Journal_Import!W153)</x:f>
      </x:c>
      <x:c r="O153" s="19">
        <x:f>IF(A153="","",Journal_Import!Z153)</x:f>
      </x:c>
    </x:row>
    <x:row r="154">
      <x:c r="A154" s="18">
        <x:f>IF(Journal_Import!A154="","",Journal_Import!A154)</x:f>
      </x:c>
      <x:c r="B154" s="18">
        <x:f>IF(A154="","",Journal_Import!B154)</x:f>
      </x:c>
      <x:c r="C154" s="18">
        <x:f>IF(A154="","",Journal_Import!I154)</x:f>
      </x:c>
      <x:c r="D154" s="18">
        <x:f>IF(A154="","",Journal_Import!J154)</x:f>
      </x:c>
      <x:c r="E154" s="19">
        <x:f>IF(A154="","",Journal_Import!D154)</x:f>
      </x:c>
      <x:c r="F154" s="19">
        <x:f>IF(A154="","",Journal_Import!F154)</x:f>
      </x:c>
      <x:c r="G154" s="19">
        <x:f>IF(A154="","",Journal_Import!G154)</x:f>
      </x:c>
      <x:c r="H154" s="19">
        <x:f>IF(A154="","",Journal_Import!H154)</x:f>
      </x:c>
      <x:c r="I154" s="12">
        <x:f>IF(A154="","",Journal_Import!S154)</x:f>
      </x:c>
      <x:c r="J154" s="12">
        <x:f>IF(A154="","",Journal_Import!T154)</x:f>
      </x:c>
      <x:c r="K154" s="12">
        <x:f>IF(C154="","",IF(C154=C153,K153+I154-J154,IFERROR(INDEX(COA_Master!$N:$N,MATCH(C154,COA_Master!$A:$A,0)),0)+I154-J154))</x:f>
      </x:c>
      <x:c r="L154" s="19">
        <x:f>IF(A154="","",IF(IFERROR(INDEX(COA_Master!$G:$G,MATCH(C154,COA_Master!$A:$A,0)),"Debit")="Debit",IF(K154&gt;=0,"Debit","Credit"),IF(K154&gt;=0,"Credit","Debit")))</x:f>
      </x:c>
      <x:c r="M154" s="19">
        <x:f>IF(A154="","",Journal_Import!V154)</x:f>
      </x:c>
      <x:c r="N154" s="19">
        <x:f>IF(A154="","",Journal_Import!W154)</x:f>
      </x:c>
      <x:c r="O154" s="19">
        <x:f>IF(A154="","",Journal_Import!Z154)</x:f>
      </x:c>
    </x:row>
    <x:row r="155">
      <x:c r="A155" s="18">
        <x:f>IF(Journal_Import!A155="","",Journal_Import!A155)</x:f>
      </x:c>
      <x:c r="B155" s="18">
        <x:f>IF(A155="","",Journal_Import!B155)</x:f>
      </x:c>
      <x:c r="C155" s="18">
        <x:f>IF(A155="","",Journal_Import!I155)</x:f>
      </x:c>
      <x:c r="D155" s="18">
        <x:f>IF(A155="","",Journal_Import!J155)</x:f>
      </x:c>
      <x:c r="E155" s="19">
        <x:f>IF(A155="","",Journal_Import!D155)</x:f>
      </x:c>
      <x:c r="F155" s="19">
        <x:f>IF(A155="","",Journal_Import!F155)</x:f>
      </x:c>
      <x:c r="G155" s="19">
        <x:f>IF(A155="","",Journal_Import!G155)</x:f>
      </x:c>
      <x:c r="H155" s="19">
        <x:f>IF(A155="","",Journal_Import!H155)</x:f>
      </x:c>
      <x:c r="I155" s="12">
        <x:f>IF(A155="","",Journal_Import!S155)</x:f>
      </x:c>
      <x:c r="J155" s="12">
        <x:f>IF(A155="","",Journal_Import!T155)</x:f>
      </x:c>
      <x:c r="K155" s="12">
        <x:f>IF(C155="","",IF(C155=C154,K154+I155-J155,IFERROR(INDEX(COA_Master!$N:$N,MATCH(C155,COA_Master!$A:$A,0)),0)+I155-J155))</x:f>
      </x:c>
      <x:c r="L155" s="19">
        <x:f>IF(A155="","",IF(IFERROR(INDEX(COA_Master!$G:$G,MATCH(C155,COA_Master!$A:$A,0)),"Debit")="Debit",IF(K155&gt;=0,"Debit","Credit"),IF(K155&gt;=0,"Credit","Debit")))</x:f>
      </x:c>
      <x:c r="M155" s="19">
        <x:f>IF(A155="","",Journal_Import!V155)</x:f>
      </x:c>
      <x:c r="N155" s="19">
        <x:f>IF(A155="","",Journal_Import!W155)</x:f>
      </x:c>
      <x:c r="O155" s="19">
        <x:f>IF(A155="","",Journal_Import!Z155)</x:f>
      </x:c>
    </x:row>
    <x:row r="156">
      <x:c r="A156" s="18">
        <x:f>IF(Journal_Import!A156="","",Journal_Import!A156)</x:f>
      </x:c>
      <x:c r="B156" s="18">
        <x:f>IF(A156="","",Journal_Import!B156)</x:f>
      </x:c>
      <x:c r="C156" s="18">
        <x:f>IF(A156="","",Journal_Import!I156)</x:f>
      </x:c>
      <x:c r="D156" s="18">
        <x:f>IF(A156="","",Journal_Import!J156)</x:f>
      </x:c>
      <x:c r="E156" s="19">
        <x:f>IF(A156="","",Journal_Import!D156)</x:f>
      </x:c>
      <x:c r="F156" s="19">
        <x:f>IF(A156="","",Journal_Import!F156)</x:f>
      </x:c>
      <x:c r="G156" s="19">
        <x:f>IF(A156="","",Journal_Import!G156)</x:f>
      </x:c>
      <x:c r="H156" s="19">
        <x:f>IF(A156="","",Journal_Import!H156)</x:f>
      </x:c>
      <x:c r="I156" s="12">
        <x:f>IF(A156="","",Journal_Import!S156)</x:f>
      </x:c>
      <x:c r="J156" s="12">
        <x:f>IF(A156="","",Journal_Import!T156)</x:f>
      </x:c>
      <x:c r="K156" s="12">
        <x:f>IF(C156="","",IF(C156=C155,K155+I156-J156,IFERROR(INDEX(COA_Master!$N:$N,MATCH(C156,COA_Master!$A:$A,0)),0)+I156-J156))</x:f>
      </x:c>
      <x:c r="L156" s="19">
        <x:f>IF(A156="","",IF(IFERROR(INDEX(COA_Master!$G:$G,MATCH(C156,COA_Master!$A:$A,0)),"Debit")="Debit",IF(K156&gt;=0,"Debit","Credit"),IF(K156&gt;=0,"Credit","Debit")))</x:f>
      </x:c>
      <x:c r="M156" s="19">
        <x:f>IF(A156="","",Journal_Import!V156)</x:f>
      </x:c>
      <x:c r="N156" s="19">
        <x:f>IF(A156="","",Journal_Import!W156)</x:f>
      </x:c>
      <x:c r="O156" s="19">
        <x:f>IF(A156="","",Journal_Import!Z156)</x:f>
      </x:c>
    </x:row>
    <x:row r="157">
      <x:c r="A157" s="18">
        <x:f>IF(Journal_Import!A157="","",Journal_Import!A157)</x:f>
      </x:c>
      <x:c r="B157" s="18">
        <x:f>IF(A157="","",Journal_Import!B157)</x:f>
      </x:c>
      <x:c r="C157" s="18">
        <x:f>IF(A157="","",Journal_Import!I157)</x:f>
      </x:c>
      <x:c r="D157" s="18">
        <x:f>IF(A157="","",Journal_Import!J157)</x:f>
      </x:c>
      <x:c r="E157" s="19">
        <x:f>IF(A157="","",Journal_Import!D157)</x:f>
      </x:c>
      <x:c r="F157" s="19">
        <x:f>IF(A157="","",Journal_Import!F157)</x:f>
      </x:c>
      <x:c r="G157" s="19">
        <x:f>IF(A157="","",Journal_Import!G157)</x:f>
      </x:c>
      <x:c r="H157" s="19">
        <x:f>IF(A157="","",Journal_Import!H157)</x:f>
      </x:c>
      <x:c r="I157" s="12">
        <x:f>IF(A157="","",Journal_Import!S157)</x:f>
      </x:c>
      <x:c r="J157" s="12">
        <x:f>IF(A157="","",Journal_Import!T157)</x:f>
      </x:c>
      <x:c r="K157" s="12">
        <x:f>IF(C157="","",IF(C157=C156,K156+I157-J157,IFERROR(INDEX(COA_Master!$N:$N,MATCH(C157,COA_Master!$A:$A,0)),0)+I157-J157))</x:f>
      </x:c>
      <x:c r="L157" s="19">
        <x:f>IF(A157="","",IF(IFERROR(INDEX(COA_Master!$G:$G,MATCH(C157,COA_Master!$A:$A,0)),"Debit")="Debit",IF(K157&gt;=0,"Debit","Credit"),IF(K157&gt;=0,"Credit","Debit")))</x:f>
      </x:c>
      <x:c r="M157" s="19">
        <x:f>IF(A157="","",Journal_Import!V157)</x:f>
      </x:c>
      <x:c r="N157" s="19">
        <x:f>IF(A157="","",Journal_Import!W157)</x:f>
      </x:c>
      <x:c r="O157" s="19">
        <x:f>IF(A157="","",Journal_Import!Z157)</x:f>
      </x:c>
    </x:row>
    <x:row r="158">
      <x:c r="A158" s="18">
        <x:f>IF(Journal_Import!A158="","",Journal_Import!A158)</x:f>
      </x:c>
      <x:c r="B158" s="18">
        <x:f>IF(A158="","",Journal_Import!B158)</x:f>
      </x:c>
      <x:c r="C158" s="18">
        <x:f>IF(A158="","",Journal_Import!I158)</x:f>
      </x:c>
      <x:c r="D158" s="18">
        <x:f>IF(A158="","",Journal_Import!J158)</x:f>
      </x:c>
      <x:c r="E158" s="19">
        <x:f>IF(A158="","",Journal_Import!D158)</x:f>
      </x:c>
      <x:c r="F158" s="19">
        <x:f>IF(A158="","",Journal_Import!F158)</x:f>
      </x:c>
      <x:c r="G158" s="19">
        <x:f>IF(A158="","",Journal_Import!G158)</x:f>
      </x:c>
      <x:c r="H158" s="19">
        <x:f>IF(A158="","",Journal_Import!H158)</x:f>
      </x:c>
      <x:c r="I158" s="12">
        <x:f>IF(A158="","",Journal_Import!S158)</x:f>
      </x:c>
      <x:c r="J158" s="12">
        <x:f>IF(A158="","",Journal_Import!T158)</x:f>
      </x:c>
      <x:c r="K158" s="12">
        <x:f>IF(C158="","",IF(C158=C157,K157+I158-J158,IFERROR(INDEX(COA_Master!$N:$N,MATCH(C158,COA_Master!$A:$A,0)),0)+I158-J158))</x:f>
      </x:c>
      <x:c r="L158" s="19">
        <x:f>IF(A158="","",IF(IFERROR(INDEX(COA_Master!$G:$G,MATCH(C158,COA_Master!$A:$A,0)),"Debit")="Debit",IF(K158&gt;=0,"Debit","Credit"),IF(K158&gt;=0,"Credit","Debit")))</x:f>
      </x:c>
      <x:c r="M158" s="19">
        <x:f>IF(A158="","",Journal_Import!V158)</x:f>
      </x:c>
      <x:c r="N158" s="19">
        <x:f>IF(A158="","",Journal_Import!W158)</x:f>
      </x:c>
      <x:c r="O158" s="19">
        <x:f>IF(A158="","",Journal_Import!Z158)</x:f>
      </x:c>
    </x:row>
    <x:row r="159">
      <x:c r="A159" s="18">
        <x:f>IF(Journal_Import!A159="","",Journal_Import!A159)</x:f>
      </x:c>
      <x:c r="B159" s="18">
        <x:f>IF(A159="","",Journal_Import!B159)</x:f>
      </x:c>
      <x:c r="C159" s="18">
        <x:f>IF(A159="","",Journal_Import!I159)</x:f>
      </x:c>
      <x:c r="D159" s="18">
        <x:f>IF(A159="","",Journal_Import!J159)</x:f>
      </x:c>
      <x:c r="E159" s="19">
        <x:f>IF(A159="","",Journal_Import!D159)</x:f>
      </x:c>
      <x:c r="F159" s="19">
        <x:f>IF(A159="","",Journal_Import!F159)</x:f>
      </x:c>
      <x:c r="G159" s="19">
        <x:f>IF(A159="","",Journal_Import!G159)</x:f>
      </x:c>
      <x:c r="H159" s="19">
        <x:f>IF(A159="","",Journal_Import!H159)</x:f>
      </x:c>
      <x:c r="I159" s="12">
        <x:f>IF(A159="","",Journal_Import!S159)</x:f>
      </x:c>
      <x:c r="J159" s="12">
        <x:f>IF(A159="","",Journal_Import!T159)</x:f>
      </x:c>
      <x:c r="K159" s="12">
        <x:f>IF(C159="","",IF(C159=C158,K158+I159-J159,IFERROR(INDEX(COA_Master!$N:$N,MATCH(C159,COA_Master!$A:$A,0)),0)+I159-J159))</x:f>
      </x:c>
      <x:c r="L159" s="19">
        <x:f>IF(A159="","",IF(IFERROR(INDEX(COA_Master!$G:$G,MATCH(C159,COA_Master!$A:$A,0)),"Debit")="Debit",IF(K159&gt;=0,"Debit","Credit"),IF(K159&gt;=0,"Credit","Debit")))</x:f>
      </x:c>
      <x:c r="M159" s="19">
        <x:f>IF(A159="","",Journal_Import!V159)</x:f>
      </x:c>
      <x:c r="N159" s="19">
        <x:f>IF(A159="","",Journal_Import!W159)</x:f>
      </x:c>
      <x:c r="O159" s="19">
        <x:f>IF(A159="","",Journal_Import!Z159)</x:f>
      </x:c>
    </x:row>
    <x:row r="160">
      <x:c r="A160" s="18">
        <x:f>IF(Journal_Import!A160="","",Journal_Import!A160)</x:f>
      </x:c>
      <x:c r="B160" s="18">
        <x:f>IF(A160="","",Journal_Import!B160)</x:f>
      </x:c>
      <x:c r="C160" s="18">
        <x:f>IF(A160="","",Journal_Import!I160)</x:f>
      </x:c>
      <x:c r="D160" s="18">
        <x:f>IF(A160="","",Journal_Import!J160)</x:f>
      </x:c>
      <x:c r="E160" s="19">
        <x:f>IF(A160="","",Journal_Import!D160)</x:f>
      </x:c>
      <x:c r="F160" s="19">
        <x:f>IF(A160="","",Journal_Import!F160)</x:f>
      </x:c>
      <x:c r="G160" s="19">
        <x:f>IF(A160="","",Journal_Import!G160)</x:f>
      </x:c>
      <x:c r="H160" s="19">
        <x:f>IF(A160="","",Journal_Import!H160)</x:f>
      </x:c>
      <x:c r="I160" s="12">
        <x:f>IF(A160="","",Journal_Import!S160)</x:f>
      </x:c>
      <x:c r="J160" s="12">
        <x:f>IF(A160="","",Journal_Import!T160)</x:f>
      </x:c>
      <x:c r="K160" s="12">
        <x:f>IF(C160="","",IF(C160=C159,K159+I160-J160,IFERROR(INDEX(COA_Master!$N:$N,MATCH(C160,COA_Master!$A:$A,0)),0)+I160-J160))</x:f>
      </x:c>
      <x:c r="L160" s="19">
        <x:f>IF(A160="","",IF(IFERROR(INDEX(COA_Master!$G:$G,MATCH(C160,COA_Master!$A:$A,0)),"Debit")="Debit",IF(K160&gt;=0,"Debit","Credit"),IF(K160&gt;=0,"Credit","Debit")))</x:f>
      </x:c>
      <x:c r="M160" s="19">
        <x:f>IF(A160="","",Journal_Import!V160)</x:f>
      </x:c>
      <x:c r="N160" s="19">
        <x:f>IF(A160="","",Journal_Import!W160)</x:f>
      </x:c>
      <x:c r="O160" s="19">
        <x:f>IF(A160="","",Journal_Import!Z160)</x:f>
      </x:c>
    </x:row>
    <x:row r="161">
      <x:c r="A161" s="18">
        <x:f>IF(Journal_Import!A161="","",Journal_Import!A161)</x:f>
      </x:c>
      <x:c r="B161" s="18">
        <x:f>IF(A161="","",Journal_Import!B161)</x:f>
      </x:c>
      <x:c r="C161" s="18">
        <x:f>IF(A161="","",Journal_Import!I161)</x:f>
      </x:c>
      <x:c r="D161" s="18">
        <x:f>IF(A161="","",Journal_Import!J161)</x:f>
      </x:c>
      <x:c r="E161" s="19">
        <x:f>IF(A161="","",Journal_Import!D161)</x:f>
      </x:c>
      <x:c r="F161" s="19">
        <x:f>IF(A161="","",Journal_Import!F161)</x:f>
      </x:c>
      <x:c r="G161" s="19">
        <x:f>IF(A161="","",Journal_Import!G161)</x:f>
      </x:c>
      <x:c r="H161" s="19">
        <x:f>IF(A161="","",Journal_Import!H161)</x:f>
      </x:c>
      <x:c r="I161" s="12">
        <x:f>IF(A161="","",Journal_Import!S161)</x:f>
      </x:c>
      <x:c r="J161" s="12">
        <x:f>IF(A161="","",Journal_Import!T161)</x:f>
      </x:c>
      <x:c r="K161" s="12">
        <x:f>IF(C161="","",IF(C161=C160,K160+I161-J161,IFERROR(INDEX(COA_Master!$N:$N,MATCH(C161,COA_Master!$A:$A,0)),0)+I161-J161))</x:f>
      </x:c>
      <x:c r="L161" s="19">
        <x:f>IF(A161="","",IF(IFERROR(INDEX(COA_Master!$G:$G,MATCH(C161,COA_Master!$A:$A,0)),"Debit")="Debit",IF(K161&gt;=0,"Debit","Credit"),IF(K161&gt;=0,"Credit","Debit")))</x:f>
      </x:c>
      <x:c r="M161" s="19">
        <x:f>IF(A161="","",Journal_Import!V161)</x:f>
      </x:c>
      <x:c r="N161" s="19">
        <x:f>IF(A161="","",Journal_Import!W161)</x:f>
      </x:c>
      <x:c r="O161" s="19">
        <x:f>IF(A161="","",Journal_Import!Z161)</x:f>
      </x:c>
    </x:row>
    <x:row r="162">
      <x:c r="A162" s="18">
        <x:f>IF(Journal_Import!A162="","",Journal_Import!A162)</x:f>
      </x:c>
      <x:c r="B162" s="18">
        <x:f>IF(A162="","",Journal_Import!B162)</x:f>
      </x:c>
      <x:c r="C162" s="18">
        <x:f>IF(A162="","",Journal_Import!I162)</x:f>
      </x:c>
      <x:c r="D162" s="18">
        <x:f>IF(A162="","",Journal_Import!J162)</x:f>
      </x:c>
      <x:c r="E162" s="19">
        <x:f>IF(A162="","",Journal_Import!D162)</x:f>
      </x:c>
      <x:c r="F162" s="19">
        <x:f>IF(A162="","",Journal_Import!F162)</x:f>
      </x:c>
      <x:c r="G162" s="19">
        <x:f>IF(A162="","",Journal_Import!G162)</x:f>
      </x:c>
      <x:c r="H162" s="19">
        <x:f>IF(A162="","",Journal_Import!H162)</x:f>
      </x:c>
      <x:c r="I162" s="12">
        <x:f>IF(A162="","",Journal_Import!S162)</x:f>
      </x:c>
      <x:c r="J162" s="12">
        <x:f>IF(A162="","",Journal_Import!T162)</x:f>
      </x:c>
      <x:c r="K162" s="12">
        <x:f>IF(C162="","",IF(C162=C161,K161+I162-J162,IFERROR(INDEX(COA_Master!$N:$N,MATCH(C162,COA_Master!$A:$A,0)),0)+I162-J162))</x:f>
      </x:c>
      <x:c r="L162" s="19">
        <x:f>IF(A162="","",IF(IFERROR(INDEX(COA_Master!$G:$G,MATCH(C162,COA_Master!$A:$A,0)),"Debit")="Debit",IF(K162&gt;=0,"Debit","Credit"),IF(K162&gt;=0,"Credit","Debit")))</x:f>
      </x:c>
      <x:c r="M162" s="19">
        <x:f>IF(A162="","",Journal_Import!V162)</x:f>
      </x:c>
      <x:c r="N162" s="19">
        <x:f>IF(A162="","",Journal_Import!W162)</x:f>
      </x:c>
      <x:c r="O162" s="19">
        <x:f>IF(A162="","",Journal_Import!Z162)</x:f>
      </x:c>
    </x:row>
    <x:row r="163">
      <x:c r="A163" s="18">
        <x:f>IF(Journal_Import!A163="","",Journal_Import!A163)</x:f>
      </x:c>
      <x:c r="B163" s="18">
        <x:f>IF(A163="","",Journal_Import!B163)</x:f>
      </x:c>
      <x:c r="C163" s="18">
        <x:f>IF(A163="","",Journal_Import!I163)</x:f>
      </x:c>
      <x:c r="D163" s="18">
        <x:f>IF(A163="","",Journal_Import!J163)</x:f>
      </x:c>
      <x:c r="E163" s="19">
        <x:f>IF(A163="","",Journal_Import!D163)</x:f>
      </x:c>
      <x:c r="F163" s="19">
        <x:f>IF(A163="","",Journal_Import!F163)</x:f>
      </x:c>
      <x:c r="G163" s="19">
        <x:f>IF(A163="","",Journal_Import!G163)</x:f>
      </x:c>
      <x:c r="H163" s="19">
        <x:f>IF(A163="","",Journal_Import!H163)</x:f>
      </x:c>
      <x:c r="I163" s="12">
        <x:f>IF(A163="","",Journal_Import!S163)</x:f>
      </x:c>
      <x:c r="J163" s="12">
        <x:f>IF(A163="","",Journal_Import!T163)</x:f>
      </x:c>
      <x:c r="K163" s="12">
        <x:f>IF(C163="","",IF(C163=C162,K162+I163-J163,IFERROR(INDEX(COA_Master!$N:$N,MATCH(C163,COA_Master!$A:$A,0)),0)+I163-J163))</x:f>
      </x:c>
      <x:c r="L163" s="19">
        <x:f>IF(A163="","",IF(IFERROR(INDEX(COA_Master!$G:$G,MATCH(C163,COA_Master!$A:$A,0)),"Debit")="Debit",IF(K163&gt;=0,"Debit","Credit"),IF(K163&gt;=0,"Credit","Debit")))</x:f>
      </x:c>
      <x:c r="M163" s="19">
        <x:f>IF(A163="","",Journal_Import!V163)</x:f>
      </x:c>
      <x:c r="N163" s="19">
        <x:f>IF(A163="","",Journal_Import!W163)</x:f>
      </x:c>
      <x:c r="O163" s="19">
        <x:f>IF(A163="","",Journal_Import!Z163)</x:f>
      </x:c>
    </x:row>
    <x:row r="164">
      <x:c r="A164" s="18">
        <x:f>IF(Journal_Import!A164="","",Journal_Import!A164)</x:f>
      </x:c>
      <x:c r="B164" s="18">
        <x:f>IF(A164="","",Journal_Import!B164)</x:f>
      </x:c>
      <x:c r="C164" s="18">
        <x:f>IF(A164="","",Journal_Import!I164)</x:f>
      </x:c>
      <x:c r="D164" s="18">
        <x:f>IF(A164="","",Journal_Import!J164)</x:f>
      </x:c>
      <x:c r="E164" s="19">
        <x:f>IF(A164="","",Journal_Import!D164)</x:f>
      </x:c>
      <x:c r="F164" s="19">
        <x:f>IF(A164="","",Journal_Import!F164)</x:f>
      </x:c>
      <x:c r="G164" s="19">
        <x:f>IF(A164="","",Journal_Import!G164)</x:f>
      </x:c>
      <x:c r="H164" s="19">
        <x:f>IF(A164="","",Journal_Import!H164)</x:f>
      </x:c>
      <x:c r="I164" s="12">
        <x:f>IF(A164="","",Journal_Import!S164)</x:f>
      </x:c>
      <x:c r="J164" s="12">
        <x:f>IF(A164="","",Journal_Import!T164)</x:f>
      </x:c>
      <x:c r="K164" s="12">
        <x:f>IF(C164="","",IF(C164=C163,K163+I164-J164,IFERROR(INDEX(COA_Master!$N:$N,MATCH(C164,COA_Master!$A:$A,0)),0)+I164-J164))</x:f>
      </x:c>
      <x:c r="L164" s="19">
        <x:f>IF(A164="","",IF(IFERROR(INDEX(COA_Master!$G:$G,MATCH(C164,COA_Master!$A:$A,0)),"Debit")="Debit",IF(K164&gt;=0,"Debit","Credit"),IF(K164&gt;=0,"Credit","Debit")))</x:f>
      </x:c>
      <x:c r="M164" s="19">
        <x:f>IF(A164="","",Journal_Import!V164)</x:f>
      </x:c>
      <x:c r="N164" s="19">
        <x:f>IF(A164="","",Journal_Import!W164)</x:f>
      </x:c>
      <x:c r="O164" s="19">
        <x:f>IF(A164="","",Journal_Import!Z164)</x:f>
      </x:c>
    </x:row>
    <x:row r="165">
      <x:c r="A165" s="18">
        <x:f>IF(Journal_Import!A165="","",Journal_Import!A165)</x:f>
      </x:c>
      <x:c r="B165" s="18">
        <x:f>IF(A165="","",Journal_Import!B165)</x:f>
      </x:c>
      <x:c r="C165" s="18">
        <x:f>IF(A165="","",Journal_Import!I165)</x:f>
      </x:c>
      <x:c r="D165" s="18">
        <x:f>IF(A165="","",Journal_Import!J165)</x:f>
      </x:c>
      <x:c r="E165" s="19">
        <x:f>IF(A165="","",Journal_Import!D165)</x:f>
      </x:c>
      <x:c r="F165" s="19">
        <x:f>IF(A165="","",Journal_Import!F165)</x:f>
      </x:c>
      <x:c r="G165" s="19">
        <x:f>IF(A165="","",Journal_Import!G165)</x:f>
      </x:c>
      <x:c r="H165" s="19">
        <x:f>IF(A165="","",Journal_Import!H165)</x:f>
      </x:c>
      <x:c r="I165" s="12">
        <x:f>IF(A165="","",Journal_Import!S165)</x:f>
      </x:c>
      <x:c r="J165" s="12">
        <x:f>IF(A165="","",Journal_Import!T165)</x:f>
      </x:c>
      <x:c r="K165" s="12">
        <x:f>IF(C165="","",IF(C165=C164,K164+I165-J165,IFERROR(INDEX(COA_Master!$N:$N,MATCH(C165,COA_Master!$A:$A,0)),0)+I165-J165))</x:f>
      </x:c>
      <x:c r="L165" s="19">
        <x:f>IF(A165="","",IF(IFERROR(INDEX(COA_Master!$G:$G,MATCH(C165,COA_Master!$A:$A,0)),"Debit")="Debit",IF(K165&gt;=0,"Debit","Credit"),IF(K165&gt;=0,"Credit","Debit")))</x:f>
      </x:c>
      <x:c r="M165" s="19">
        <x:f>IF(A165="","",Journal_Import!V165)</x:f>
      </x:c>
      <x:c r="N165" s="19">
        <x:f>IF(A165="","",Journal_Import!W165)</x:f>
      </x:c>
      <x:c r="O165" s="19">
        <x:f>IF(A165="","",Journal_Import!Z165)</x:f>
      </x:c>
    </x:row>
    <x:row r="166">
      <x:c r="A166" s="18">
        <x:f>IF(Journal_Import!A166="","",Journal_Import!A166)</x:f>
      </x:c>
      <x:c r="B166" s="18">
        <x:f>IF(A166="","",Journal_Import!B166)</x:f>
      </x:c>
      <x:c r="C166" s="18">
        <x:f>IF(A166="","",Journal_Import!I166)</x:f>
      </x:c>
      <x:c r="D166" s="18">
        <x:f>IF(A166="","",Journal_Import!J166)</x:f>
      </x:c>
      <x:c r="E166" s="19">
        <x:f>IF(A166="","",Journal_Import!D166)</x:f>
      </x:c>
      <x:c r="F166" s="19">
        <x:f>IF(A166="","",Journal_Import!F166)</x:f>
      </x:c>
      <x:c r="G166" s="19">
        <x:f>IF(A166="","",Journal_Import!G166)</x:f>
      </x:c>
      <x:c r="H166" s="19">
        <x:f>IF(A166="","",Journal_Import!H166)</x:f>
      </x:c>
      <x:c r="I166" s="12">
        <x:f>IF(A166="","",Journal_Import!S166)</x:f>
      </x:c>
      <x:c r="J166" s="12">
        <x:f>IF(A166="","",Journal_Import!T166)</x:f>
      </x:c>
      <x:c r="K166" s="12">
        <x:f>IF(C166="","",IF(C166=C165,K165+I166-J166,IFERROR(INDEX(COA_Master!$N:$N,MATCH(C166,COA_Master!$A:$A,0)),0)+I166-J166))</x:f>
      </x:c>
      <x:c r="L166" s="19">
        <x:f>IF(A166="","",IF(IFERROR(INDEX(COA_Master!$G:$G,MATCH(C166,COA_Master!$A:$A,0)),"Debit")="Debit",IF(K166&gt;=0,"Debit","Credit"),IF(K166&gt;=0,"Credit","Debit")))</x:f>
      </x:c>
      <x:c r="M166" s="19">
        <x:f>IF(A166="","",Journal_Import!V166)</x:f>
      </x:c>
      <x:c r="N166" s="19">
        <x:f>IF(A166="","",Journal_Import!W166)</x:f>
      </x:c>
      <x:c r="O166" s="19">
        <x:f>IF(A166="","",Journal_Import!Z166)</x:f>
      </x:c>
    </x:row>
    <x:row r="167">
      <x:c r="A167" s="18">
        <x:f>IF(Journal_Import!A167="","",Journal_Import!A167)</x:f>
      </x:c>
      <x:c r="B167" s="18">
        <x:f>IF(A167="","",Journal_Import!B167)</x:f>
      </x:c>
      <x:c r="C167" s="18">
        <x:f>IF(A167="","",Journal_Import!I167)</x:f>
      </x:c>
      <x:c r="D167" s="18">
        <x:f>IF(A167="","",Journal_Import!J167)</x:f>
      </x:c>
      <x:c r="E167" s="19">
        <x:f>IF(A167="","",Journal_Import!D167)</x:f>
      </x:c>
      <x:c r="F167" s="19">
        <x:f>IF(A167="","",Journal_Import!F167)</x:f>
      </x:c>
      <x:c r="G167" s="19">
        <x:f>IF(A167="","",Journal_Import!G167)</x:f>
      </x:c>
      <x:c r="H167" s="19">
        <x:f>IF(A167="","",Journal_Import!H167)</x:f>
      </x:c>
      <x:c r="I167" s="12">
        <x:f>IF(A167="","",Journal_Import!S167)</x:f>
      </x:c>
      <x:c r="J167" s="12">
        <x:f>IF(A167="","",Journal_Import!T167)</x:f>
      </x:c>
      <x:c r="K167" s="12">
        <x:f>IF(C167="","",IF(C167=C166,K166+I167-J167,IFERROR(INDEX(COA_Master!$N:$N,MATCH(C167,COA_Master!$A:$A,0)),0)+I167-J167))</x:f>
      </x:c>
      <x:c r="L167" s="19">
        <x:f>IF(A167="","",IF(IFERROR(INDEX(COA_Master!$G:$G,MATCH(C167,COA_Master!$A:$A,0)),"Debit")="Debit",IF(K167&gt;=0,"Debit","Credit"),IF(K167&gt;=0,"Credit","Debit")))</x:f>
      </x:c>
      <x:c r="M167" s="19">
        <x:f>IF(A167="","",Journal_Import!V167)</x:f>
      </x:c>
      <x:c r="N167" s="19">
        <x:f>IF(A167="","",Journal_Import!W167)</x:f>
      </x:c>
      <x:c r="O167" s="19">
        <x:f>IF(A167="","",Journal_Import!Z167)</x:f>
      </x:c>
    </x:row>
    <x:row r="168">
      <x:c r="A168" s="18">
        <x:f>IF(Journal_Import!A168="","",Journal_Import!A168)</x:f>
      </x:c>
      <x:c r="B168" s="18">
        <x:f>IF(A168="","",Journal_Import!B168)</x:f>
      </x:c>
      <x:c r="C168" s="18">
        <x:f>IF(A168="","",Journal_Import!I168)</x:f>
      </x:c>
      <x:c r="D168" s="18">
        <x:f>IF(A168="","",Journal_Import!J168)</x:f>
      </x:c>
      <x:c r="E168" s="19">
        <x:f>IF(A168="","",Journal_Import!D168)</x:f>
      </x:c>
      <x:c r="F168" s="19">
        <x:f>IF(A168="","",Journal_Import!F168)</x:f>
      </x:c>
      <x:c r="G168" s="19">
        <x:f>IF(A168="","",Journal_Import!G168)</x:f>
      </x:c>
      <x:c r="H168" s="19">
        <x:f>IF(A168="","",Journal_Import!H168)</x:f>
      </x:c>
      <x:c r="I168" s="12">
        <x:f>IF(A168="","",Journal_Import!S168)</x:f>
      </x:c>
      <x:c r="J168" s="12">
        <x:f>IF(A168="","",Journal_Import!T168)</x:f>
      </x:c>
      <x:c r="K168" s="12">
        <x:f>IF(C168="","",IF(C168=C167,K167+I168-J168,IFERROR(INDEX(COA_Master!$N:$N,MATCH(C168,COA_Master!$A:$A,0)),0)+I168-J168))</x:f>
      </x:c>
      <x:c r="L168" s="19">
        <x:f>IF(A168="","",IF(IFERROR(INDEX(COA_Master!$G:$G,MATCH(C168,COA_Master!$A:$A,0)),"Debit")="Debit",IF(K168&gt;=0,"Debit","Credit"),IF(K168&gt;=0,"Credit","Debit")))</x:f>
      </x:c>
      <x:c r="M168" s="19">
        <x:f>IF(A168="","",Journal_Import!V168)</x:f>
      </x:c>
      <x:c r="N168" s="19">
        <x:f>IF(A168="","",Journal_Import!W168)</x:f>
      </x:c>
      <x:c r="O168" s="19">
        <x:f>IF(A168="","",Journal_Import!Z168)</x:f>
      </x:c>
    </x:row>
    <x:row r="169">
      <x:c r="A169" s="18">
        <x:f>IF(Journal_Import!A169="","",Journal_Import!A169)</x:f>
      </x:c>
      <x:c r="B169" s="18">
        <x:f>IF(A169="","",Journal_Import!B169)</x:f>
      </x:c>
      <x:c r="C169" s="18">
        <x:f>IF(A169="","",Journal_Import!I169)</x:f>
      </x:c>
      <x:c r="D169" s="18">
        <x:f>IF(A169="","",Journal_Import!J169)</x:f>
      </x:c>
      <x:c r="E169" s="19">
        <x:f>IF(A169="","",Journal_Import!D169)</x:f>
      </x:c>
      <x:c r="F169" s="19">
        <x:f>IF(A169="","",Journal_Import!F169)</x:f>
      </x:c>
      <x:c r="G169" s="19">
        <x:f>IF(A169="","",Journal_Import!G169)</x:f>
      </x:c>
      <x:c r="H169" s="19">
        <x:f>IF(A169="","",Journal_Import!H169)</x:f>
      </x:c>
      <x:c r="I169" s="12">
        <x:f>IF(A169="","",Journal_Import!S169)</x:f>
      </x:c>
      <x:c r="J169" s="12">
        <x:f>IF(A169="","",Journal_Import!T169)</x:f>
      </x:c>
      <x:c r="K169" s="12">
        <x:f>IF(C169="","",IF(C169=C168,K168+I169-J169,IFERROR(INDEX(COA_Master!$N:$N,MATCH(C169,COA_Master!$A:$A,0)),0)+I169-J169))</x:f>
      </x:c>
      <x:c r="L169" s="19">
        <x:f>IF(A169="","",IF(IFERROR(INDEX(COA_Master!$G:$G,MATCH(C169,COA_Master!$A:$A,0)),"Debit")="Debit",IF(K169&gt;=0,"Debit","Credit"),IF(K169&gt;=0,"Credit","Debit")))</x:f>
      </x:c>
      <x:c r="M169" s="19">
        <x:f>IF(A169="","",Journal_Import!V169)</x:f>
      </x:c>
      <x:c r="N169" s="19">
        <x:f>IF(A169="","",Journal_Import!W169)</x:f>
      </x:c>
      <x:c r="O169" s="19">
        <x:f>IF(A169="","",Journal_Import!Z169)</x:f>
      </x:c>
    </x:row>
    <x:row r="170">
      <x:c r="A170" s="18">
        <x:f>IF(Journal_Import!A170="","",Journal_Import!A170)</x:f>
      </x:c>
      <x:c r="B170" s="18">
        <x:f>IF(A170="","",Journal_Import!B170)</x:f>
      </x:c>
      <x:c r="C170" s="18">
        <x:f>IF(A170="","",Journal_Import!I170)</x:f>
      </x:c>
      <x:c r="D170" s="18">
        <x:f>IF(A170="","",Journal_Import!J170)</x:f>
      </x:c>
      <x:c r="E170" s="19">
        <x:f>IF(A170="","",Journal_Import!D170)</x:f>
      </x:c>
      <x:c r="F170" s="19">
        <x:f>IF(A170="","",Journal_Import!F170)</x:f>
      </x:c>
      <x:c r="G170" s="19">
        <x:f>IF(A170="","",Journal_Import!G170)</x:f>
      </x:c>
      <x:c r="H170" s="19">
        <x:f>IF(A170="","",Journal_Import!H170)</x:f>
      </x:c>
      <x:c r="I170" s="12">
        <x:f>IF(A170="","",Journal_Import!S170)</x:f>
      </x:c>
      <x:c r="J170" s="12">
        <x:f>IF(A170="","",Journal_Import!T170)</x:f>
      </x:c>
      <x:c r="K170" s="12">
        <x:f>IF(C170="","",IF(C170=C169,K169+I170-J170,IFERROR(INDEX(COA_Master!$N:$N,MATCH(C170,COA_Master!$A:$A,0)),0)+I170-J170))</x:f>
      </x:c>
      <x:c r="L170" s="19">
        <x:f>IF(A170="","",IF(IFERROR(INDEX(COA_Master!$G:$G,MATCH(C170,COA_Master!$A:$A,0)),"Debit")="Debit",IF(K170&gt;=0,"Debit","Credit"),IF(K170&gt;=0,"Credit","Debit")))</x:f>
      </x:c>
      <x:c r="M170" s="19">
        <x:f>IF(A170="","",Journal_Import!V170)</x:f>
      </x:c>
      <x:c r="N170" s="19">
        <x:f>IF(A170="","",Journal_Import!W170)</x:f>
      </x:c>
      <x:c r="O170" s="19">
        <x:f>IF(A170="","",Journal_Import!Z170)</x:f>
      </x:c>
    </x:row>
    <x:row r="171">
      <x:c r="A171" s="18">
        <x:f>IF(Journal_Import!A171="","",Journal_Import!A171)</x:f>
      </x:c>
      <x:c r="B171" s="18">
        <x:f>IF(A171="","",Journal_Import!B171)</x:f>
      </x:c>
      <x:c r="C171" s="18">
        <x:f>IF(A171="","",Journal_Import!I171)</x:f>
      </x:c>
      <x:c r="D171" s="18">
        <x:f>IF(A171="","",Journal_Import!J171)</x:f>
      </x:c>
      <x:c r="E171" s="19">
        <x:f>IF(A171="","",Journal_Import!D171)</x:f>
      </x:c>
      <x:c r="F171" s="19">
        <x:f>IF(A171="","",Journal_Import!F171)</x:f>
      </x:c>
      <x:c r="G171" s="19">
        <x:f>IF(A171="","",Journal_Import!G171)</x:f>
      </x:c>
      <x:c r="H171" s="19">
        <x:f>IF(A171="","",Journal_Import!H171)</x:f>
      </x:c>
      <x:c r="I171" s="12">
        <x:f>IF(A171="","",Journal_Import!S171)</x:f>
      </x:c>
      <x:c r="J171" s="12">
        <x:f>IF(A171="","",Journal_Import!T171)</x:f>
      </x:c>
      <x:c r="K171" s="12">
        <x:f>IF(C171="","",IF(C171=C170,K170+I171-J171,IFERROR(INDEX(COA_Master!$N:$N,MATCH(C171,COA_Master!$A:$A,0)),0)+I171-J171))</x:f>
      </x:c>
      <x:c r="L171" s="19">
        <x:f>IF(A171="","",IF(IFERROR(INDEX(COA_Master!$G:$G,MATCH(C171,COA_Master!$A:$A,0)),"Debit")="Debit",IF(K171&gt;=0,"Debit","Credit"),IF(K171&gt;=0,"Credit","Debit")))</x:f>
      </x:c>
      <x:c r="M171" s="19">
        <x:f>IF(A171="","",Journal_Import!V171)</x:f>
      </x:c>
      <x:c r="N171" s="19">
        <x:f>IF(A171="","",Journal_Import!W171)</x:f>
      </x:c>
      <x:c r="O171" s="19">
        <x:f>IF(A171="","",Journal_Import!Z171)</x:f>
      </x:c>
    </x:row>
    <x:row r="172">
      <x:c r="A172" s="18">
        <x:f>IF(Journal_Import!A172="","",Journal_Import!A172)</x:f>
      </x:c>
      <x:c r="B172" s="18">
        <x:f>IF(A172="","",Journal_Import!B172)</x:f>
      </x:c>
      <x:c r="C172" s="18">
        <x:f>IF(A172="","",Journal_Import!I172)</x:f>
      </x:c>
      <x:c r="D172" s="18">
        <x:f>IF(A172="","",Journal_Import!J172)</x:f>
      </x:c>
      <x:c r="E172" s="19">
        <x:f>IF(A172="","",Journal_Import!D172)</x:f>
      </x:c>
      <x:c r="F172" s="19">
        <x:f>IF(A172="","",Journal_Import!F172)</x:f>
      </x:c>
      <x:c r="G172" s="19">
        <x:f>IF(A172="","",Journal_Import!G172)</x:f>
      </x:c>
      <x:c r="H172" s="19">
        <x:f>IF(A172="","",Journal_Import!H172)</x:f>
      </x:c>
      <x:c r="I172" s="12">
        <x:f>IF(A172="","",Journal_Import!S172)</x:f>
      </x:c>
      <x:c r="J172" s="12">
        <x:f>IF(A172="","",Journal_Import!T172)</x:f>
      </x:c>
      <x:c r="K172" s="12">
        <x:f>IF(C172="","",IF(C172=C171,K171+I172-J172,IFERROR(INDEX(COA_Master!$N:$N,MATCH(C172,COA_Master!$A:$A,0)),0)+I172-J172))</x:f>
      </x:c>
      <x:c r="L172" s="19">
        <x:f>IF(A172="","",IF(IFERROR(INDEX(COA_Master!$G:$G,MATCH(C172,COA_Master!$A:$A,0)),"Debit")="Debit",IF(K172&gt;=0,"Debit","Credit"),IF(K172&gt;=0,"Credit","Debit")))</x:f>
      </x:c>
      <x:c r="M172" s="19">
        <x:f>IF(A172="","",Journal_Import!V172)</x:f>
      </x:c>
      <x:c r="N172" s="19">
        <x:f>IF(A172="","",Journal_Import!W172)</x:f>
      </x:c>
      <x:c r="O172" s="19">
        <x:f>IF(A172="","",Journal_Import!Z172)</x:f>
      </x:c>
    </x:row>
    <x:row r="173">
      <x:c r="A173" s="18">
        <x:f>IF(Journal_Import!A173="","",Journal_Import!A173)</x:f>
      </x:c>
      <x:c r="B173" s="18">
        <x:f>IF(A173="","",Journal_Import!B173)</x:f>
      </x:c>
      <x:c r="C173" s="18">
        <x:f>IF(A173="","",Journal_Import!I173)</x:f>
      </x:c>
      <x:c r="D173" s="18">
        <x:f>IF(A173="","",Journal_Import!J173)</x:f>
      </x:c>
      <x:c r="E173" s="19">
        <x:f>IF(A173="","",Journal_Import!D173)</x:f>
      </x:c>
      <x:c r="F173" s="19">
        <x:f>IF(A173="","",Journal_Import!F173)</x:f>
      </x:c>
      <x:c r="G173" s="19">
        <x:f>IF(A173="","",Journal_Import!G173)</x:f>
      </x:c>
      <x:c r="H173" s="19">
        <x:f>IF(A173="","",Journal_Import!H173)</x:f>
      </x:c>
      <x:c r="I173" s="12">
        <x:f>IF(A173="","",Journal_Import!S173)</x:f>
      </x:c>
      <x:c r="J173" s="12">
        <x:f>IF(A173="","",Journal_Import!T173)</x:f>
      </x:c>
      <x:c r="K173" s="12">
        <x:f>IF(C173="","",IF(C173=C172,K172+I173-J173,IFERROR(INDEX(COA_Master!$N:$N,MATCH(C173,COA_Master!$A:$A,0)),0)+I173-J173))</x:f>
      </x:c>
      <x:c r="L173" s="19">
        <x:f>IF(A173="","",IF(IFERROR(INDEX(COA_Master!$G:$G,MATCH(C173,COA_Master!$A:$A,0)),"Debit")="Debit",IF(K173&gt;=0,"Debit","Credit"),IF(K173&gt;=0,"Credit","Debit")))</x:f>
      </x:c>
      <x:c r="M173" s="19">
        <x:f>IF(A173="","",Journal_Import!V173)</x:f>
      </x:c>
      <x:c r="N173" s="19">
        <x:f>IF(A173="","",Journal_Import!W173)</x:f>
      </x:c>
      <x:c r="O173" s="19">
        <x:f>IF(A173="","",Journal_Import!Z173)</x:f>
      </x:c>
    </x:row>
    <x:row r="174">
      <x:c r="A174" s="18">
        <x:f>IF(Journal_Import!A174="","",Journal_Import!A174)</x:f>
      </x:c>
      <x:c r="B174" s="18">
        <x:f>IF(A174="","",Journal_Import!B174)</x:f>
      </x:c>
      <x:c r="C174" s="18">
        <x:f>IF(A174="","",Journal_Import!I174)</x:f>
      </x:c>
      <x:c r="D174" s="18">
        <x:f>IF(A174="","",Journal_Import!J174)</x:f>
      </x:c>
      <x:c r="E174" s="19">
        <x:f>IF(A174="","",Journal_Import!D174)</x:f>
      </x:c>
      <x:c r="F174" s="19">
        <x:f>IF(A174="","",Journal_Import!F174)</x:f>
      </x:c>
      <x:c r="G174" s="19">
        <x:f>IF(A174="","",Journal_Import!G174)</x:f>
      </x:c>
      <x:c r="H174" s="19">
        <x:f>IF(A174="","",Journal_Import!H174)</x:f>
      </x:c>
      <x:c r="I174" s="12">
        <x:f>IF(A174="","",Journal_Import!S174)</x:f>
      </x:c>
      <x:c r="J174" s="12">
        <x:f>IF(A174="","",Journal_Import!T174)</x:f>
      </x:c>
      <x:c r="K174" s="12">
        <x:f>IF(C174="","",IF(C174=C173,K173+I174-J174,IFERROR(INDEX(COA_Master!$N:$N,MATCH(C174,COA_Master!$A:$A,0)),0)+I174-J174))</x:f>
      </x:c>
      <x:c r="L174" s="19">
        <x:f>IF(A174="","",IF(IFERROR(INDEX(COA_Master!$G:$G,MATCH(C174,COA_Master!$A:$A,0)),"Debit")="Debit",IF(K174&gt;=0,"Debit","Credit"),IF(K174&gt;=0,"Credit","Debit")))</x:f>
      </x:c>
      <x:c r="M174" s="19">
        <x:f>IF(A174="","",Journal_Import!V174)</x:f>
      </x:c>
      <x:c r="N174" s="19">
        <x:f>IF(A174="","",Journal_Import!W174)</x:f>
      </x:c>
      <x:c r="O174" s="19">
        <x:f>IF(A174="","",Journal_Import!Z174)</x:f>
      </x:c>
    </x:row>
    <x:row r="175">
      <x:c r="A175" s="18">
        <x:f>IF(Journal_Import!A175="","",Journal_Import!A175)</x:f>
      </x:c>
      <x:c r="B175" s="18">
        <x:f>IF(A175="","",Journal_Import!B175)</x:f>
      </x:c>
      <x:c r="C175" s="18">
        <x:f>IF(A175="","",Journal_Import!I175)</x:f>
      </x:c>
      <x:c r="D175" s="18">
        <x:f>IF(A175="","",Journal_Import!J175)</x:f>
      </x:c>
      <x:c r="E175" s="19">
        <x:f>IF(A175="","",Journal_Import!D175)</x:f>
      </x:c>
      <x:c r="F175" s="19">
        <x:f>IF(A175="","",Journal_Import!F175)</x:f>
      </x:c>
      <x:c r="G175" s="19">
        <x:f>IF(A175="","",Journal_Import!G175)</x:f>
      </x:c>
      <x:c r="H175" s="19">
        <x:f>IF(A175="","",Journal_Import!H175)</x:f>
      </x:c>
      <x:c r="I175" s="12">
        <x:f>IF(A175="","",Journal_Import!S175)</x:f>
      </x:c>
      <x:c r="J175" s="12">
        <x:f>IF(A175="","",Journal_Import!T175)</x:f>
      </x:c>
      <x:c r="K175" s="12">
        <x:f>IF(C175="","",IF(C175=C174,K174+I175-J175,IFERROR(INDEX(COA_Master!$N:$N,MATCH(C175,COA_Master!$A:$A,0)),0)+I175-J175))</x:f>
      </x:c>
      <x:c r="L175" s="19">
        <x:f>IF(A175="","",IF(IFERROR(INDEX(COA_Master!$G:$G,MATCH(C175,COA_Master!$A:$A,0)),"Debit")="Debit",IF(K175&gt;=0,"Debit","Credit"),IF(K175&gt;=0,"Credit","Debit")))</x:f>
      </x:c>
      <x:c r="M175" s="19">
        <x:f>IF(A175="","",Journal_Import!V175)</x:f>
      </x:c>
      <x:c r="N175" s="19">
        <x:f>IF(A175="","",Journal_Import!W175)</x:f>
      </x:c>
      <x:c r="O175" s="19">
        <x:f>IF(A175="","",Journal_Import!Z175)</x:f>
      </x:c>
    </x:row>
    <x:row r="176">
      <x:c r="A176" s="18">
        <x:f>IF(Journal_Import!A176="","",Journal_Import!A176)</x:f>
      </x:c>
      <x:c r="B176" s="18">
        <x:f>IF(A176="","",Journal_Import!B176)</x:f>
      </x:c>
      <x:c r="C176" s="18">
        <x:f>IF(A176="","",Journal_Import!I176)</x:f>
      </x:c>
      <x:c r="D176" s="18">
        <x:f>IF(A176="","",Journal_Import!J176)</x:f>
      </x:c>
      <x:c r="E176" s="19">
        <x:f>IF(A176="","",Journal_Import!D176)</x:f>
      </x:c>
      <x:c r="F176" s="19">
        <x:f>IF(A176="","",Journal_Import!F176)</x:f>
      </x:c>
      <x:c r="G176" s="19">
        <x:f>IF(A176="","",Journal_Import!G176)</x:f>
      </x:c>
      <x:c r="H176" s="19">
        <x:f>IF(A176="","",Journal_Import!H176)</x:f>
      </x:c>
      <x:c r="I176" s="12">
        <x:f>IF(A176="","",Journal_Import!S176)</x:f>
      </x:c>
      <x:c r="J176" s="12">
        <x:f>IF(A176="","",Journal_Import!T176)</x:f>
      </x:c>
      <x:c r="K176" s="12">
        <x:f>IF(C176="","",IF(C176=C175,K175+I176-J176,IFERROR(INDEX(COA_Master!$N:$N,MATCH(C176,COA_Master!$A:$A,0)),0)+I176-J176))</x:f>
      </x:c>
      <x:c r="L176" s="19">
        <x:f>IF(A176="","",IF(IFERROR(INDEX(COA_Master!$G:$G,MATCH(C176,COA_Master!$A:$A,0)),"Debit")="Debit",IF(K176&gt;=0,"Debit","Credit"),IF(K176&gt;=0,"Credit","Debit")))</x:f>
      </x:c>
      <x:c r="M176" s="19">
        <x:f>IF(A176="","",Journal_Import!V176)</x:f>
      </x:c>
      <x:c r="N176" s="19">
        <x:f>IF(A176="","",Journal_Import!W176)</x:f>
      </x:c>
      <x:c r="O176" s="19">
        <x:f>IF(A176="","",Journal_Import!Z176)</x:f>
      </x:c>
    </x:row>
    <x:row r="177">
      <x:c r="A177" s="18">
        <x:f>IF(Journal_Import!A177="","",Journal_Import!A177)</x:f>
      </x:c>
      <x:c r="B177" s="18">
        <x:f>IF(A177="","",Journal_Import!B177)</x:f>
      </x:c>
      <x:c r="C177" s="18">
        <x:f>IF(A177="","",Journal_Import!I177)</x:f>
      </x:c>
      <x:c r="D177" s="18">
        <x:f>IF(A177="","",Journal_Import!J177)</x:f>
      </x:c>
      <x:c r="E177" s="19">
        <x:f>IF(A177="","",Journal_Import!D177)</x:f>
      </x:c>
      <x:c r="F177" s="19">
        <x:f>IF(A177="","",Journal_Import!F177)</x:f>
      </x:c>
      <x:c r="G177" s="19">
        <x:f>IF(A177="","",Journal_Import!G177)</x:f>
      </x:c>
      <x:c r="H177" s="19">
        <x:f>IF(A177="","",Journal_Import!H177)</x:f>
      </x:c>
      <x:c r="I177" s="12">
        <x:f>IF(A177="","",Journal_Import!S177)</x:f>
      </x:c>
      <x:c r="J177" s="12">
        <x:f>IF(A177="","",Journal_Import!T177)</x:f>
      </x:c>
      <x:c r="K177" s="12">
        <x:f>IF(C177="","",IF(C177=C176,K176+I177-J177,IFERROR(INDEX(COA_Master!$N:$N,MATCH(C177,COA_Master!$A:$A,0)),0)+I177-J177))</x:f>
      </x:c>
      <x:c r="L177" s="19">
        <x:f>IF(A177="","",IF(IFERROR(INDEX(COA_Master!$G:$G,MATCH(C177,COA_Master!$A:$A,0)),"Debit")="Debit",IF(K177&gt;=0,"Debit","Credit"),IF(K177&gt;=0,"Credit","Debit")))</x:f>
      </x:c>
      <x:c r="M177" s="19">
        <x:f>IF(A177="","",Journal_Import!V177)</x:f>
      </x:c>
      <x:c r="N177" s="19">
        <x:f>IF(A177="","",Journal_Import!W177)</x:f>
      </x:c>
      <x:c r="O177" s="19">
        <x:f>IF(A177="","",Journal_Import!Z177)</x:f>
      </x:c>
    </x:row>
    <x:row r="178">
      <x:c r="A178" s="18">
        <x:f>IF(Journal_Import!A178="","",Journal_Import!A178)</x:f>
      </x:c>
      <x:c r="B178" s="18">
        <x:f>IF(A178="","",Journal_Import!B178)</x:f>
      </x:c>
      <x:c r="C178" s="18">
        <x:f>IF(A178="","",Journal_Import!I178)</x:f>
      </x:c>
      <x:c r="D178" s="18">
        <x:f>IF(A178="","",Journal_Import!J178)</x:f>
      </x:c>
      <x:c r="E178" s="19">
        <x:f>IF(A178="","",Journal_Import!D178)</x:f>
      </x:c>
      <x:c r="F178" s="19">
        <x:f>IF(A178="","",Journal_Import!F178)</x:f>
      </x:c>
      <x:c r="G178" s="19">
        <x:f>IF(A178="","",Journal_Import!G178)</x:f>
      </x:c>
      <x:c r="H178" s="19">
        <x:f>IF(A178="","",Journal_Import!H178)</x:f>
      </x:c>
      <x:c r="I178" s="12">
        <x:f>IF(A178="","",Journal_Import!S178)</x:f>
      </x:c>
      <x:c r="J178" s="12">
        <x:f>IF(A178="","",Journal_Import!T178)</x:f>
      </x:c>
      <x:c r="K178" s="12">
        <x:f>IF(C178="","",IF(C178=C177,K177+I178-J178,IFERROR(INDEX(COA_Master!$N:$N,MATCH(C178,COA_Master!$A:$A,0)),0)+I178-J178))</x:f>
      </x:c>
      <x:c r="L178" s="19">
        <x:f>IF(A178="","",IF(IFERROR(INDEX(COA_Master!$G:$G,MATCH(C178,COA_Master!$A:$A,0)),"Debit")="Debit",IF(K178&gt;=0,"Debit","Credit"),IF(K178&gt;=0,"Credit","Debit")))</x:f>
      </x:c>
      <x:c r="M178" s="19">
        <x:f>IF(A178="","",Journal_Import!V178)</x:f>
      </x:c>
      <x:c r="N178" s="19">
        <x:f>IF(A178="","",Journal_Import!W178)</x:f>
      </x:c>
      <x:c r="O178" s="19">
        <x:f>IF(A178="","",Journal_Import!Z178)</x:f>
      </x:c>
    </x:row>
    <x:row r="179">
      <x:c r="A179" s="18">
        <x:f>IF(Journal_Import!A179="","",Journal_Import!A179)</x:f>
      </x:c>
      <x:c r="B179" s="18">
        <x:f>IF(A179="","",Journal_Import!B179)</x:f>
      </x:c>
      <x:c r="C179" s="18">
        <x:f>IF(A179="","",Journal_Import!I179)</x:f>
      </x:c>
      <x:c r="D179" s="18">
        <x:f>IF(A179="","",Journal_Import!J179)</x:f>
      </x:c>
      <x:c r="E179" s="19">
        <x:f>IF(A179="","",Journal_Import!D179)</x:f>
      </x:c>
      <x:c r="F179" s="19">
        <x:f>IF(A179="","",Journal_Import!F179)</x:f>
      </x:c>
      <x:c r="G179" s="19">
        <x:f>IF(A179="","",Journal_Import!G179)</x:f>
      </x:c>
      <x:c r="H179" s="19">
        <x:f>IF(A179="","",Journal_Import!H179)</x:f>
      </x:c>
      <x:c r="I179" s="12">
        <x:f>IF(A179="","",Journal_Import!S179)</x:f>
      </x:c>
      <x:c r="J179" s="12">
        <x:f>IF(A179="","",Journal_Import!T179)</x:f>
      </x:c>
      <x:c r="K179" s="12">
        <x:f>IF(C179="","",IF(C179=C178,K178+I179-J179,IFERROR(INDEX(COA_Master!$N:$N,MATCH(C179,COA_Master!$A:$A,0)),0)+I179-J179))</x:f>
      </x:c>
      <x:c r="L179" s="19">
        <x:f>IF(A179="","",IF(IFERROR(INDEX(COA_Master!$G:$G,MATCH(C179,COA_Master!$A:$A,0)),"Debit")="Debit",IF(K179&gt;=0,"Debit","Credit"),IF(K179&gt;=0,"Credit","Debit")))</x:f>
      </x:c>
      <x:c r="M179" s="19">
        <x:f>IF(A179="","",Journal_Import!V179)</x:f>
      </x:c>
      <x:c r="N179" s="19">
        <x:f>IF(A179="","",Journal_Import!W179)</x:f>
      </x:c>
      <x:c r="O179" s="19">
        <x:f>IF(A179="","",Journal_Import!Z179)</x:f>
      </x:c>
    </x:row>
    <x:row r="180">
      <x:c r="A180" s="18">
        <x:f>IF(Journal_Import!A180="","",Journal_Import!A180)</x:f>
      </x:c>
      <x:c r="B180" s="18">
        <x:f>IF(A180="","",Journal_Import!B180)</x:f>
      </x:c>
      <x:c r="C180" s="18">
        <x:f>IF(A180="","",Journal_Import!I180)</x:f>
      </x:c>
      <x:c r="D180" s="18">
        <x:f>IF(A180="","",Journal_Import!J180)</x:f>
      </x:c>
      <x:c r="E180" s="19">
        <x:f>IF(A180="","",Journal_Import!D180)</x:f>
      </x:c>
      <x:c r="F180" s="19">
        <x:f>IF(A180="","",Journal_Import!F180)</x:f>
      </x:c>
      <x:c r="G180" s="19">
        <x:f>IF(A180="","",Journal_Import!G180)</x:f>
      </x:c>
      <x:c r="H180" s="19">
        <x:f>IF(A180="","",Journal_Import!H180)</x:f>
      </x:c>
      <x:c r="I180" s="12">
        <x:f>IF(A180="","",Journal_Import!S180)</x:f>
      </x:c>
      <x:c r="J180" s="12">
        <x:f>IF(A180="","",Journal_Import!T180)</x:f>
      </x:c>
      <x:c r="K180" s="12">
        <x:f>IF(C180="","",IF(C180=C179,K179+I180-J180,IFERROR(INDEX(COA_Master!$N:$N,MATCH(C180,COA_Master!$A:$A,0)),0)+I180-J180))</x:f>
      </x:c>
      <x:c r="L180" s="19">
        <x:f>IF(A180="","",IF(IFERROR(INDEX(COA_Master!$G:$G,MATCH(C180,COA_Master!$A:$A,0)),"Debit")="Debit",IF(K180&gt;=0,"Debit","Credit"),IF(K180&gt;=0,"Credit","Debit")))</x:f>
      </x:c>
      <x:c r="M180" s="19">
        <x:f>IF(A180="","",Journal_Import!V180)</x:f>
      </x:c>
      <x:c r="N180" s="19">
        <x:f>IF(A180="","",Journal_Import!W180)</x:f>
      </x:c>
      <x:c r="O180" s="19">
        <x:f>IF(A180="","",Journal_Import!Z180)</x:f>
      </x:c>
    </x:row>
    <x:row r="181">
      <x:c r="A181" s="18">
        <x:f>IF(Journal_Import!A181="","",Journal_Import!A181)</x:f>
      </x:c>
      <x:c r="B181" s="18">
        <x:f>IF(A181="","",Journal_Import!B181)</x:f>
      </x:c>
      <x:c r="C181" s="18">
        <x:f>IF(A181="","",Journal_Import!I181)</x:f>
      </x:c>
      <x:c r="D181" s="18">
        <x:f>IF(A181="","",Journal_Import!J181)</x:f>
      </x:c>
      <x:c r="E181" s="19">
        <x:f>IF(A181="","",Journal_Import!D181)</x:f>
      </x:c>
      <x:c r="F181" s="19">
        <x:f>IF(A181="","",Journal_Import!F181)</x:f>
      </x:c>
      <x:c r="G181" s="19">
        <x:f>IF(A181="","",Journal_Import!G181)</x:f>
      </x:c>
      <x:c r="H181" s="19">
        <x:f>IF(A181="","",Journal_Import!H181)</x:f>
      </x:c>
      <x:c r="I181" s="12">
        <x:f>IF(A181="","",Journal_Import!S181)</x:f>
      </x:c>
      <x:c r="J181" s="12">
        <x:f>IF(A181="","",Journal_Import!T181)</x:f>
      </x:c>
      <x:c r="K181" s="12">
        <x:f>IF(C181="","",IF(C181=C180,K180+I181-J181,IFERROR(INDEX(COA_Master!$N:$N,MATCH(C181,COA_Master!$A:$A,0)),0)+I181-J181))</x:f>
      </x:c>
      <x:c r="L181" s="19">
        <x:f>IF(A181="","",IF(IFERROR(INDEX(COA_Master!$G:$G,MATCH(C181,COA_Master!$A:$A,0)),"Debit")="Debit",IF(K181&gt;=0,"Debit","Credit"),IF(K181&gt;=0,"Credit","Debit")))</x:f>
      </x:c>
      <x:c r="M181" s="19">
        <x:f>IF(A181="","",Journal_Import!V181)</x:f>
      </x:c>
      <x:c r="N181" s="19">
        <x:f>IF(A181="","",Journal_Import!W181)</x:f>
      </x:c>
      <x:c r="O181" s="19">
        <x:f>IF(A181="","",Journal_Import!Z181)</x:f>
      </x:c>
    </x:row>
    <x:row r="182">
      <x:c r="A182" s="18">
        <x:f>IF(Journal_Import!A182="","",Journal_Import!A182)</x:f>
      </x:c>
      <x:c r="B182" s="18">
        <x:f>IF(A182="","",Journal_Import!B182)</x:f>
      </x:c>
      <x:c r="C182" s="18">
        <x:f>IF(A182="","",Journal_Import!I182)</x:f>
      </x:c>
      <x:c r="D182" s="18">
        <x:f>IF(A182="","",Journal_Import!J182)</x:f>
      </x:c>
      <x:c r="E182" s="19">
        <x:f>IF(A182="","",Journal_Import!D182)</x:f>
      </x:c>
      <x:c r="F182" s="19">
        <x:f>IF(A182="","",Journal_Import!F182)</x:f>
      </x:c>
      <x:c r="G182" s="19">
        <x:f>IF(A182="","",Journal_Import!G182)</x:f>
      </x:c>
      <x:c r="H182" s="19">
        <x:f>IF(A182="","",Journal_Import!H182)</x:f>
      </x:c>
      <x:c r="I182" s="12">
        <x:f>IF(A182="","",Journal_Import!S182)</x:f>
      </x:c>
      <x:c r="J182" s="12">
        <x:f>IF(A182="","",Journal_Import!T182)</x:f>
      </x:c>
      <x:c r="K182" s="12">
        <x:f>IF(C182="","",IF(C182=C181,K181+I182-J182,IFERROR(INDEX(COA_Master!$N:$N,MATCH(C182,COA_Master!$A:$A,0)),0)+I182-J182))</x:f>
      </x:c>
      <x:c r="L182" s="19">
        <x:f>IF(A182="","",IF(IFERROR(INDEX(COA_Master!$G:$G,MATCH(C182,COA_Master!$A:$A,0)),"Debit")="Debit",IF(K182&gt;=0,"Debit","Credit"),IF(K182&gt;=0,"Credit","Debit")))</x:f>
      </x:c>
      <x:c r="M182" s="19">
        <x:f>IF(A182="","",Journal_Import!V182)</x:f>
      </x:c>
      <x:c r="N182" s="19">
        <x:f>IF(A182="","",Journal_Import!W182)</x:f>
      </x:c>
      <x:c r="O182" s="19">
        <x:f>IF(A182="","",Journal_Import!Z182)</x:f>
      </x:c>
    </x:row>
    <x:row r="183">
      <x:c r="A183" s="18">
        <x:f>IF(Journal_Import!A183="","",Journal_Import!A183)</x:f>
      </x:c>
      <x:c r="B183" s="18">
        <x:f>IF(A183="","",Journal_Import!B183)</x:f>
      </x:c>
      <x:c r="C183" s="18">
        <x:f>IF(A183="","",Journal_Import!I183)</x:f>
      </x:c>
      <x:c r="D183" s="18">
        <x:f>IF(A183="","",Journal_Import!J183)</x:f>
      </x:c>
      <x:c r="E183" s="19">
        <x:f>IF(A183="","",Journal_Import!D183)</x:f>
      </x:c>
      <x:c r="F183" s="19">
        <x:f>IF(A183="","",Journal_Import!F183)</x:f>
      </x:c>
      <x:c r="G183" s="19">
        <x:f>IF(A183="","",Journal_Import!G183)</x:f>
      </x:c>
      <x:c r="H183" s="19">
        <x:f>IF(A183="","",Journal_Import!H183)</x:f>
      </x:c>
      <x:c r="I183" s="12">
        <x:f>IF(A183="","",Journal_Import!S183)</x:f>
      </x:c>
      <x:c r="J183" s="12">
        <x:f>IF(A183="","",Journal_Import!T183)</x:f>
      </x:c>
      <x:c r="K183" s="12">
        <x:f>IF(C183="","",IF(C183=C182,K182+I183-J183,IFERROR(INDEX(COA_Master!$N:$N,MATCH(C183,COA_Master!$A:$A,0)),0)+I183-J183))</x:f>
      </x:c>
      <x:c r="L183" s="19">
        <x:f>IF(A183="","",IF(IFERROR(INDEX(COA_Master!$G:$G,MATCH(C183,COA_Master!$A:$A,0)),"Debit")="Debit",IF(K183&gt;=0,"Debit","Credit"),IF(K183&gt;=0,"Credit","Debit")))</x:f>
      </x:c>
      <x:c r="M183" s="19">
        <x:f>IF(A183="","",Journal_Import!V183)</x:f>
      </x:c>
      <x:c r="N183" s="19">
        <x:f>IF(A183="","",Journal_Import!W183)</x:f>
      </x:c>
      <x:c r="O183" s="19">
        <x:f>IF(A183="","",Journal_Import!Z183)</x:f>
      </x:c>
    </x:row>
    <x:row r="184">
      <x:c r="A184" s="18">
        <x:f>IF(Journal_Import!A184="","",Journal_Import!A184)</x:f>
      </x:c>
      <x:c r="B184" s="18">
        <x:f>IF(A184="","",Journal_Import!B184)</x:f>
      </x:c>
      <x:c r="C184" s="18">
        <x:f>IF(A184="","",Journal_Import!I184)</x:f>
      </x:c>
      <x:c r="D184" s="18">
        <x:f>IF(A184="","",Journal_Import!J184)</x:f>
      </x:c>
      <x:c r="E184" s="19">
        <x:f>IF(A184="","",Journal_Import!D184)</x:f>
      </x:c>
      <x:c r="F184" s="19">
        <x:f>IF(A184="","",Journal_Import!F184)</x:f>
      </x:c>
      <x:c r="G184" s="19">
        <x:f>IF(A184="","",Journal_Import!G184)</x:f>
      </x:c>
      <x:c r="H184" s="19">
        <x:f>IF(A184="","",Journal_Import!H184)</x:f>
      </x:c>
      <x:c r="I184" s="12">
        <x:f>IF(A184="","",Journal_Import!S184)</x:f>
      </x:c>
      <x:c r="J184" s="12">
        <x:f>IF(A184="","",Journal_Import!T184)</x:f>
      </x:c>
      <x:c r="K184" s="12">
        <x:f>IF(C184="","",IF(C184=C183,K183+I184-J184,IFERROR(INDEX(COA_Master!$N:$N,MATCH(C184,COA_Master!$A:$A,0)),0)+I184-J184))</x:f>
      </x:c>
      <x:c r="L184" s="19">
        <x:f>IF(A184="","",IF(IFERROR(INDEX(COA_Master!$G:$G,MATCH(C184,COA_Master!$A:$A,0)),"Debit")="Debit",IF(K184&gt;=0,"Debit","Credit"),IF(K184&gt;=0,"Credit","Debit")))</x:f>
      </x:c>
      <x:c r="M184" s="19">
        <x:f>IF(A184="","",Journal_Import!V184)</x:f>
      </x:c>
      <x:c r="N184" s="19">
        <x:f>IF(A184="","",Journal_Import!W184)</x:f>
      </x:c>
      <x:c r="O184" s="19">
        <x:f>IF(A184="","",Journal_Import!Z184)</x:f>
      </x:c>
    </x:row>
    <x:row r="185">
      <x:c r="A185" s="18">
        <x:f>IF(Journal_Import!A185="","",Journal_Import!A185)</x:f>
      </x:c>
      <x:c r="B185" s="18">
        <x:f>IF(A185="","",Journal_Import!B185)</x:f>
      </x:c>
      <x:c r="C185" s="18">
        <x:f>IF(A185="","",Journal_Import!I185)</x:f>
      </x:c>
      <x:c r="D185" s="18">
        <x:f>IF(A185="","",Journal_Import!J185)</x:f>
      </x:c>
      <x:c r="E185" s="19">
        <x:f>IF(A185="","",Journal_Import!D185)</x:f>
      </x:c>
      <x:c r="F185" s="19">
        <x:f>IF(A185="","",Journal_Import!F185)</x:f>
      </x:c>
      <x:c r="G185" s="19">
        <x:f>IF(A185="","",Journal_Import!G185)</x:f>
      </x:c>
      <x:c r="H185" s="19">
        <x:f>IF(A185="","",Journal_Import!H185)</x:f>
      </x:c>
      <x:c r="I185" s="12">
        <x:f>IF(A185="","",Journal_Import!S185)</x:f>
      </x:c>
      <x:c r="J185" s="12">
        <x:f>IF(A185="","",Journal_Import!T185)</x:f>
      </x:c>
      <x:c r="K185" s="12">
        <x:f>IF(C185="","",IF(C185=C184,K184+I185-J185,IFERROR(INDEX(COA_Master!$N:$N,MATCH(C185,COA_Master!$A:$A,0)),0)+I185-J185))</x:f>
      </x:c>
      <x:c r="L185" s="19">
        <x:f>IF(A185="","",IF(IFERROR(INDEX(COA_Master!$G:$G,MATCH(C185,COA_Master!$A:$A,0)),"Debit")="Debit",IF(K185&gt;=0,"Debit","Credit"),IF(K185&gt;=0,"Credit","Debit")))</x:f>
      </x:c>
      <x:c r="M185" s="19">
        <x:f>IF(A185="","",Journal_Import!V185)</x:f>
      </x:c>
      <x:c r="N185" s="19">
        <x:f>IF(A185="","",Journal_Import!W185)</x:f>
      </x:c>
      <x:c r="O185" s="19">
        <x:f>IF(A185="","",Journal_Import!Z185)</x:f>
      </x:c>
    </x:row>
    <x:row r="186">
      <x:c r="A186" s="18">
        <x:f>IF(Journal_Import!A186="","",Journal_Import!A186)</x:f>
      </x:c>
      <x:c r="B186" s="18">
        <x:f>IF(A186="","",Journal_Import!B186)</x:f>
      </x:c>
      <x:c r="C186" s="18">
        <x:f>IF(A186="","",Journal_Import!I186)</x:f>
      </x:c>
      <x:c r="D186" s="18">
        <x:f>IF(A186="","",Journal_Import!J186)</x:f>
      </x:c>
      <x:c r="E186" s="19">
        <x:f>IF(A186="","",Journal_Import!D186)</x:f>
      </x:c>
      <x:c r="F186" s="19">
        <x:f>IF(A186="","",Journal_Import!F186)</x:f>
      </x:c>
      <x:c r="G186" s="19">
        <x:f>IF(A186="","",Journal_Import!G186)</x:f>
      </x:c>
      <x:c r="H186" s="19">
        <x:f>IF(A186="","",Journal_Import!H186)</x:f>
      </x:c>
      <x:c r="I186" s="12">
        <x:f>IF(A186="","",Journal_Import!S186)</x:f>
      </x:c>
      <x:c r="J186" s="12">
        <x:f>IF(A186="","",Journal_Import!T186)</x:f>
      </x:c>
      <x:c r="K186" s="12">
        <x:f>IF(C186="","",IF(C186=C185,K185+I186-J186,IFERROR(INDEX(COA_Master!$N:$N,MATCH(C186,COA_Master!$A:$A,0)),0)+I186-J186))</x:f>
      </x:c>
      <x:c r="L186" s="19">
        <x:f>IF(A186="","",IF(IFERROR(INDEX(COA_Master!$G:$G,MATCH(C186,COA_Master!$A:$A,0)),"Debit")="Debit",IF(K186&gt;=0,"Debit","Credit"),IF(K186&gt;=0,"Credit","Debit")))</x:f>
      </x:c>
      <x:c r="M186" s="19">
        <x:f>IF(A186="","",Journal_Import!V186)</x:f>
      </x:c>
      <x:c r="N186" s="19">
        <x:f>IF(A186="","",Journal_Import!W186)</x:f>
      </x:c>
      <x:c r="O186" s="19">
        <x:f>IF(A186="","",Journal_Import!Z186)</x:f>
      </x:c>
    </x:row>
    <x:row r="187">
      <x:c r="A187" s="18">
        <x:f>IF(Journal_Import!A187="","",Journal_Import!A187)</x:f>
      </x:c>
      <x:c r="B187" s="18">
        <x:f>IF(A187="","",Journal_Import!B187)</x:f>
      </x:c>
      <x:c r="C187" s="18">
        <x:f>IF(A187="","",Journal_Import!I187)</x:f>
      </x:c>
      <x:c r="D187" s="18">
        <x:f>IF(A187="","",Journal_Import!J187)</x:f>
      </x:c>
      <x:c r="E187" s="19">
        <x:f>IF(A187="","",Journal_Import!D187)</x:f>
      </x:c>
      <x:c r="F187" s="19">
        <x:f>IF(A187="","",Journal_Import!F187)</x:f>
      </x:c>
      <x:c r="G187" s="19">
        <x:f>IF(A187="","",Journal_Import!G187)</x:f>
      </x:c>
      <x:c r="H187" s="19">
        <x:f>IF(A187="","",Journal_Import!H187)</x:f>
      </x:c>
      <x:c r="I187" s="12">
        <x:f>IF(A187="","",Journal_Import!S187)</x:f>
      </x:c>
      <x:c r="J187" s="12">
        <x:f>IF(A187="","",Journal_Import!T187)</x:f>
      </x:c>
      <x:c r="K187" s="12">
        <x:f>IF(C187="","",IF(C187=C186,K186+I187-J187,IFERROR(INDEX(COA_Master!$N:$N,MATCH(C187,COA_Master!$A:$A,0)),0)+I187-J187))</x:f>
      </x:c>
      <x:c r="L187" s="19">
        <x:f>IF(A187="","",IF(IFERROR(INDEX(COA_Master!$G:$G,MATCH(C187,COA_Master!$A:$A,0)),"Debit")="Debit",IF(K187&gt;=0,"Debit","Credit"),IF(K187&gt;=0,"Credit","Debit")))</x:f>
      </x:c>
      <x:c r="M187" s="19">
        <x:f>IF(A187="","",Journal_Import!V187)</x:f>
      </x:c>
      <x:c r="N187" s="19">
        <x:f>IF(A187="","",Journal_Import!W187)</x:f>
      </x:c>
      <x:c r="O187" s="19">
        <x:f>IF(A187="","",Journal_Import!Z187)</x:f>
      </x:c>
    </x:row>
    <x:row r="188">
      <x:c r="A188" s="18">
        <x:f>IF(Journal_Import!A188="","",Journal_Import!A188)</x:f>
      </x:c>
      <x:c r="B188" s="18">
        <x:f>IF(A188="","",Journal_Import!B188)</x:f>
      </x:c>
      <x:c r="C188" s="18">
        <x:f>IF(A188="","",Journal_Import!I188)</x:f>
      </x:c>
      <x:c r="D188" s="18">
        <x:f>IF(A188="","",Journal_Import!J188)</x:f>
      </x:c>
      <x:c r="E188" s="19">
        <x:f>IF(A188="","",Journal_Import!D188)</x:f>
      </x:c>
      <x:c r="F188" s="19">
        <x:f>IF(A188="","",Journal_Import!F188)</x:f>
      </x:c>
      <x:c r="G188" s="19">
        <x:f>IF(A188="","",Journal_Import!G188)</x:f>
      </x:c>
      <x:c r="H188" s="19">
        <x:f>IF(A188="","",Journal_Import!H188)</x:f>
      </x:c>
      <x:c r="I188" s="12">
        <x:f>IF(A188="","",Journal_Import!S188)</x:f>
      </x:c>
      <x:c r="J188" s="12">
        <x:f>IF(A188="","",Journal_Import!T188)</x:f>
      </x:c>
      <x:c r="K188" s="12">
        <x:f>IF(C188="","",IF(C188=C187,K187+I188-J188,IFERROR(INDEX(COA_Master!$N:$N,MATCH(C188,COA_Master!$A:$A,0)),0)+I188-J188))</x:f>
      </x:c>
      <x:c r="L188" s="19">
        <x:f>IF(A188="","",IF(IFERROR(INDEX(COA_Master!$G:$G,MATCH(C188,COA_Master!$A:$A,0)),"Debit")="Debit",IF(K188&gt;=0,"Debit","Credit"),IF(K188&gt;=0,"Credit","Debit")))</x:f>
      </x:c>
      <x:c r="M188" s="19">
        <x:f>IF(A188="","",Journal_Import!V188)</x:f>
      </x:c>
      <x:c r="N188" s="19">
        <x:f>IF(A188="","",Journal_Import!W188)</x:f>
      </x:c>
      <x:c r="O188" s="19">
        <x:f>IF(A188="","",Journal_Import!Z188)</x:f>
      </x:c>
    </x:row>
    <x:row r="189">
      <x:c r="A189" s="18">
        <x:f>IF(Journal_Import!A189="","",Journal_Import!A189)</x:f>
      </x:c>
      <x:c r="B189" s="18">
        <x:f>IF(A189="","",Journal_Import!B189)</x:f>
      </x:c>
      <x:c r="C189" s="18">
        <x:f>IF(A189="","",Journal_Import!I189)</x:f>
      </x:c>
      <x:c r="D189" s="18">
        <x:f>IF(A189="","",Journal_Import!J189)</x:f>
      </x:c>
      <x:c r="E189" s="19">
        <x:f>IF(A189="","",Journal_Import!D189)</x:f>
      </x:c>
      <x:c r="F189" s="19">
        <x:f>IF(A189="","",Journal_Import!F189)</x:f>
      </x:c>
      <x:c r="G189" s="19">
        <x:f>IF(A189="","",Journal_Import!G189)</x:f>
      </x:c>
      <x:c r="H189" s="19">
        <x:f>IF(A189="","",Journal_Import!H189)</x:f>
      </x:c>
      <x:c r="I189" s="12">
        <x:f>IF(A189="","",Journal_Import!S189)</x:f>
      </x:c>
      <x:c r="J189" s="12">
        <x:f>IF(A189="","",Journal_Import!T189)</x:f>
      </x:c>
      <x:c r="K189" s="12">
        <x:f>IF(C189="","",IF(C189=C188,K188+I189-J189,IFERROR(INDEX(COA_Master!$N:$N,MATCH(C189,COA_Master!$A:$A,0)),0)+I189-J189))</x:f>
      </x:c>
      <x:c r="L189" s="19">
        <x:f>IF(A189="","",IF(IFERROR(INDEX(COA_Master!$G:$G,MATCH(C189,COA_Master!$A:$A,0)),"Debit")="Debit",IF(K189&gt;=0,"Debit","Credit"),IF(K189&gt;=0,"Credit","Debit")))</x:f>
      </x:c>
      <x:c r="M189" s="19">
        <x:f>IF(A189="","",Journal_Import!V189)</x:f>
      </x:c>
      <x:c r="N189" s="19">
        <x:f>IF(A189="","",Journal_Import!W189)</x:f>
      </x:c>
      <x:c r="O189" s="19">
        <x:f>IF(A189="","",Journal_Import!Z189)</x:f>
      </x:c>
    </x:row>
    <x:row r="190">
      <x:c r="A190" s="18">
        <x:f>IF(Journal_Import!A190="","",Journal_Import!A190)</x:f>
      </x:c>
      <x:c r="B190" s="18">
        <x:f>IF(A190="","",Journal_Import!B190)</x:f>
      </x:c>
      <x:c r="C190" s="18">
        <x:f>IF(A190="","",Journal_Import!I190)</x:f>
      </x:c>
      <x:c r="D190" s="18">
        <x:f>IF(A190="","",Journal_Import!J190)</x:f>
      </x:c>
      <x:c r="E190" s="19">
        <x:f>IF(A190="","",Journal_Import!D190)</x:f>
      </x:c>
      <x:c r="F190" s="19">
        <x:f>IF(A190="","",Journal_Import!F190)</x:f>
      </x:c>
      <x:c r="G190" s="19">
        <x:f>IF(A190="","",Journal_Import!G190)</x:f>
      </x:c>
      <x:c r="H190" s="19">
        <x:f>IF(A190="","",Journal_Import!H190)</x:f>
      </x:c>
      <x:c r="I190" s="12">
        <x:f>IF(A190="","",Journal_Import!S190)</x:f>
      </x:c>
      <x:c r="J190" s="12">
        <x:f>IF(A190="","",Journal_Import!T190)</x:f>
      </x:c>
      <x:c r="K190" s="12">
        <x:f>IF(C190="","",IF(C190=C189,K189+I190-J190,IFERROR(INDEX(COA_Master!$N:$N,MATCH(C190,COA_Master!$A:$A,0)),0)+I190-J190))</x:f>
      </x:c>
      <x:c r="L190" s="19">
        <x:f>IF(A190="","",IF(IFERROR(INDEX(COA_Master!$G:$G,MATCH(C190,COA_Master!$A:$A,0)),"Debit")="Debit",IF(K190&gt;=0,"Debit","Credit"),IF(K190&gt;=0,"Credit","Debit")))</x:f>
      </x:c>
      <x:c r="M190" s="19">
        <x:f>IF(A190="","",Journal_Import!V190)</x:f>
      </x:c>
      <x:c r="N190" s="19">
        <x:f>IF(A190="","",Journal_Import!W190)</x:f>
      </x:c>
      <x:c r="O190" s="19">
        <x:f>IF(A190="","",Journal_Import!Z190)</x:f>
      </x:c>
    </x:row>
    <x:row r="191">
      <x:c r="A191" s="18">
        <x:f>IF(Journal_Import!A191="","",Journal_Import!A191)</x:f>
      </x:c>
      <x:c r="B191" s="18">
        <x:f>IF(A191="","",Journal_Import!B191)</x:f>
      </x:c>
      <x:c r="C191" s="18">
        <x:f>IF(A191="","",Journal_Import!I191)</x:f>
      </x:c>
      <x:c r="D191" s="18">
        <x:f>IF(A191="","",Journal_Import!J191)</x:f>
      </x:c>
      <x:c r="E191" s="19">
        <x:f>IF(A191="","",Journal_Import!D191)</x:f>
      </x:c>
      <x:c r="F191" s="19">
        <x:f>IF(A191="","",Journal_Import!F191)</x:f>
      </x:c>
      <x:c r="G191" s="19">
        <x:f>IF(A191="","",Journal_Import!G191)</x:f>
      </x:c>
      <x:c r="H191" s="19">
        <x:f>IF(A191="","",Journal_Import!H191)</x:f>
      </x:c>
      <x:c r="I191" s="12">
        <x:f>IF(A191="","",Journal_Import!S191)</x:f>
      </x:c>
      <x:c r="J191" s="12">
        <x:f>IF(A191="","",Journal_Import!T191)</x:f>
      </x:c>
      <x:c r="K191" s="12">
        <x:f>IF(C191="","",IF(C191=C190,K190+I191-J191,IFERROR(INDEX(COA_Master!$N:$N,MATCH(C191,COA_Master!$A:$A,0)),0)+I191-J191))</x:f>
      </x:c>
      <x:c r="L191" s="19">
        <x:f>IF(A191="","",IF(IFERROR(INDEX(COA_Master!$G:$G,MATCH(C191,COA_Master!$A:$A,0)),"Debit")="Debit",IF(K191&gt;=0,"Debit","Credit"),IF(K191&gt;=0,"Credit","Debit")))</x:f>
      </x:c>
      <x:c r="M191" s="19">
        <x:f>IF(A191="","",Journal_Import!V191)</x:f>
      </x:c>
      <x:c r="N191" s="19">
        <x:f>IF(A191="","",Journal_Import!W191)</x:f>
      </x:c>
      <x:c r="O191" s="19">
        <x:f>IF(A191="","",Journal_Import!Z191)</x:f>
      </x:c>
    </x:row>
    <x:row r="192">
      <x:c r="A192" s="18">
        <x:f>IF(Journal_Import!A192="","",Journal_Import!A192)</x:f>
      </x:c>
      <x:c r="B192" s="18">
        <x:f>IF(A192="","",Journal_Import!B192)</x:f>
      </x:c>
      <x:c r="C192" s="18">
        <x:f>IF(A192="","",Journal_Import!I192)</x:f>
      </x:c>
      <x:c r="D192" s="18">
        <x:f>IF(A192="","",Journal_Import!J192)</x:f>
      </x:c>
      <x:c r="E192" s="19">
        <x:f>IF(A192="","",Journal_Import!D192)</x:f>
      </x:c>
      <x:c r="F192" s="19">
        <x:f>IF(A192="","",Journal_Import!F192)</x:f>
      </x:c>
      <x:c r="G192" s="19">
        <x:f>IF(A192="","",Journal_Import!G192)</x:f>
      </x:c>
      <x:c r="H192" s="19">
        <x:f>IF(A192="","",Journal_Import!H192)</x:f>
      </x:c>
      <x:c r="I192" s="12">
        <x:f>IF(A192="","",Journal_Import!S192)</x:f>
      </x:c>
      <x:c r="J192" s="12">
        <x:f>IF(A192="","",Journal_Import!T192)</x:f>
      </x:c>
      <x:c r="K192" s="12">
        <x:f>IF(C192="","",IF(C192=C191,K191+I192-J192,IFERROR(INDEX(COA_Master!$N:$N,MATCH(C192,COA_Master!$A:$A,0)),0)+I192-J192))</x:f>
      </x:c>
      <x:c r="L192" s="19">
        <x:f>IF(A192="","",IF(IFERROR(INDEX(COA_Master!$G:$G,MATCH(C192,COA_Master!$A:$A,0)),"Debit")="Debit",IF(K192&gt;=0,"Debit","Credit"),IF(K192&gt;=0,"Credit","Debit")))</x:f>
      </x:c>
      <x:c r="M192" s="19">
        <x:f>IF(A192="","",Journal_Import!V192)</x:f>
      </x:c>
      <x:c r="N192" s="19">
        <x:f>IF(A192="","",Journal_Import!W192)</x:f>
      </x:c>
      <x:c r="O192" s="19">
        <x:f>IF(A192="","",Journal_Import!Z192)</x:f>
      </x:c>
    </x:row>
    <x:row r="193">
      <x:c r="A193" s="18">
        <x:f>IF(Journal_Import!A193="","",Journal_Import!A193)</x:f>
      </x:c>
      <x:c r="B193" s="18">
        <x:f>IF(A193="","",Journal_Import!B193)</x:f>
      </x:c>
      <x:c r="C193" s="18">
        <x:f>IF(A193="","",Journal_Import!I193)</x:f>
      </x:c>
      <x:c r="D193" s="18">
        <x:f>IF(A193="","",Journal_Import!J193)</x:f>
      </x:c>
      <x:c r="E193" s="19">
        <x:f>IF(A193="","",Journal_Import!D193)</x:f>
      </x:c>
      <x:c r="F193" s="19">
        <x:f>IF(A193="","",Journal_Import!F193)</x:f>
      </x:c>
      <x:c r="G193" s="19">
        <x:f>IF(A193="","",Journal_Import!G193)</x:f>
      </x:c>
      <x:c r="H193" s="19">
        <x:f>IF(A193="","",Journal_Import!H193)</x:f>
      </x:c>
      <x:c r="I193" s="12">
        <x:f>IF(A193="","",Journal_Import!S193)</x:f>
      </x:c>
      <x:c r="J193" s="12">
        <x:f>IF(A193="","",Journal_Import!T193)</x:f>
      </x:c>
      <x:c r="K193" s="12">
        <x:f>IF(C193="","",IF(C193=C192,K192+I193-J193,IFERROR(INDEX(COA_Master!$N:$N,MATCH(C193,COA_Master!$A:$A,0)),0)+I193-J193))</x:f>
      </x:c>
      <x:c r="L193" s="19">
        <x:f>IF(A193="","",IF(IFERROR(INDEX(COA_Master!$G:$G,MATCH(C193,COA_Master!$A:$A,0)),"Debit")="Debit",IF(K193&gt;=0,"Debit","Credit"),IF(K193&gt;=0,"Credit","Debit")))</x:f>
      </x:c>
      <x:c r="M193" s="19">
        <x:f>IF(A193="","",Journal_Import!V193)</x:f>
      </x:c>
      <x:c r="N193" s="19">
        <x:f>IF(A193="","",Journal_Import!W193)</x:f>
      </x:c>
      <x:c r="O193" s="19">
        <x:f>IF(A193="","",Journal_Import!Z193)</x:f>
      </x:c>
    </x:row>
    <x:row r="194">
      <x:c r="A194" s="18">
        <x:f>IF(Journal_Import!A194="","",Journal_Import!A194)</x:f>
      </x:c>
      <x:c r="B194" s="18">
        <x:f>IF(A194="","",Journal_Import!B194)</x:f>
      </x:c>
      <x:c r="C194" s="18">
        <x:f>IF(A194="","",Journal_Import!I194)</x:f>
      </x:c>
      <x:c r="D194" s="18">
        <x:f>IF(A194="","",Journal_Import!J194)</x:f>
      </x:c>
      <x:c r="E194" s="19">
        <x:f>IF(A194="","",Journal_Import!D194)</x:f>
      </x:c>
      <x:c r="F194" s="19">
        <x:f>IF(A194="","",Journal_Import!F194)</x:f>
      </x:c>
      <x:c r="G194" s="19">
        <x:f>IF(A194="","",Journal_Import!G194)</x:f>
      </x:c>
      <x:c r="H194" s="19">
        <x:f>IF(A194="","",Journal_Import!H194)</x:f>
      </x:c>
      <x:c r="I194" s="12">
        <x:f>IF(A194="","",Journal_Import!S194)</x:f>
      </x:c>
      <x:c r="J194" s="12">
        <x:f>IF(A194="","",Journal_Import!T194)</x:f>
      </x:c>
      <x:c r="K194" s="12">
        <x:f>IF(C194="","",IF(C194=C193,K193+I194-J194,IFERROR(INDEX(COA_Master!$N:$N,MATCH(C194,COA_Master!$A:$A,0)),0)+I194-J194))</x:f>
      </x:c>
      <x:c r="L194" s="19">
        <x:f>IF(A194="","",IF(IFERROR(INDEX(COA_Master!$G:$G,MATCH(C194,COA_Master!$A:$A,0)),"Debit")="Debit",IF(K194&gt;=0,"Debit","Credit"),IF(K194&gt;=0,"Credit","Debit")))</x:f>
      </x:c>
      <x:c r="M194" s="19">
        <x:f>IF(A194="","",Journal_Import!V194)</x:f>
      </x:c>
      <x:c r="N194" s="19">
        <x:f>IF(A194="","",Journal_Import!W194)</x:f>
      </x:c>
      <x:c r="O194" s="19">
        <x:f>IF(A194="","",Journal_Import!Z194)</x:f>
      </x:c>
    </x:row>
    <x:row r="195">
      <x:c r="A195" s="18">
        <x:f>IF(Journal_Import!A195="","",Journal_Import!A195)</x:f>
      </x:c>
      <x:c r="B195" s="18">
        <x:f>IF(A195="","",Journal_Import!B195)</x:f>
      </x:c>
      <x:c r="C195" s="18">
        <x:f>IF(A195="","",Journal_Import!I195)</x:f>
      </x:c>
      <x:c r="D195" s="18">
        <x:f>IF(A195="","",Journal_Import!J195)</x:f>
      </x:c>
      <x:c r="E195" s="19">
        <x:f>IF(A195="","",Journal_Import!D195)</x:f>
      </x:c>
      <x:c r="F195" s="19">
        <x:f>IF(A195="","",Journal_Import!F195)</x:f>
      </x:c>
      <x:c r="G195" s="19">
        <x:f>IF(A195="","",Journal_Import!G195)</x:f>
      </x:c>
      <x:c r="H195" s="19">
        <x:f>IF(A195="","",Journal_Import!H195)</x:f>
      </x:c>
      <x:c r="I195" s="12">
        <x:f>IF(A195="","",Journal_Import!S195)</x:f>
      </x:c>
      <x:c r="J195" s="12">
        <x:f>IF(A195="","",Journal_Import!T195)</x:f>
      </x:c>
      <x:c r="K195" s="12">
        <x:f>IF(C195="","",IF(C195=C194,K194+I195-J195,IFERROR(INDEX(COA_Master!$N:$N,MATCH(C195,COA_Master!$A:$A,0)),0)+I195-J195))</x:f>
      </x:c>
      <x:c r="L195" s="19">
        <x:f>IF(A195="","",IF(IFERROR(INDEX(COA_Master!$G:$G,MATCH(C195,COA_Master!$A:$A,0)),"Debit")="Debit",IF(K195&gt;=0,"Debit","Credit"),IF(K195&gt;=0,"Credit","Debit")))</x:f>
      </x:c>
      <x:c r="M195" s="19">
        <x:f>IF(A195="","",Journal_Import!V195)</x:f>
      </x:c>
      <x:c r="N195" s="19">
        <x:f>IF(A195="","",Journal_Import!W195)</x:f>
      </x:c>
      <x:c r="O195" s="19">
        <x:f>IF(A195="","",Journal_Import!Z195)</x:f>
      </x:c>
    </x:row>
    <x:row r="196">
      <x:c r="A196" s="18">
        <x:f>IF(Journal_Import!A196="","",Journal_Import!A196)</x:f>
      </x:c>
      <x:c r="B196" s="18">
        <x:f>IF(A196="","",Journal_Import!B196)</x:f>
      </x:c>
      <x:c r="C196" s="18">
        <x:f>IF(A196="","",Journal_Import!I196)</x:f>
      </x:c>
      <x:c r="D196" s="18">
        <x:f>IF(A196="","",Journal_Import!J196)</x:f>
      </x:c>
      <x:c r="E196" s="19">
        <x:f>IF(A196="","",Journal_Import!D196)</x:f>
      </x:c>
      <x:c r="F196" s="19">
        <x:f>IF(A196="","",Journal_Import!F196)</x:f>
      </x:c>
      <x:c r="G196" s="19">
        <x:f>IF(A196="","",Journal_Import!G196)</x:f>
      </x:c>
      <x:c r="H196" s="19">
        <x:f>IF(A196="","",Journal_Import!H196)</x:f>
      </x:c>
      <x:c r="I196" s="12">
        <x:f>IF(A196="","",Journal_Import!S196)</x:f>
      </x:c>
      <x:c r="J196" s="12">
        <x:f>IF(A196="","",Journal_Import!T196)</x:f>
      </x:c>
      <x:c r="K196" s="12">
        <x:f>IF(C196="","",IF(C196=C195,K195+I196-J196,IFERROR(INDEX(COA_Master!$N:$N,MATCH(C196,COA_Master!$A:$A,0)),0)+I196-J196))</x:f>
      </x:c>
      <x:c r="L196" s="19">
        <x:f>IF(A196="","",IF(IFERROR(INDEX(COA_Master!$G:$G,MATCH(C196,COA_Master!$A:$A,0)),"Debit")="Debit",IF(K196&gt;=0,"Debit","Credit"),IF(K196&gt;=0,"Credit","Debit")))</x:f>
      </x:c>
      <x:c r="M196" s="19">
        <x:f>IF(A196="","",Journal_Import!V196)</x:f>
      </x:c>
      <x:c r="N196" s="19">
        <x:f>IF(A196="","",Journal_Import!W196)</x:f>
      </x:c>
      <x:c r="O196" s="19">
        <x:f>IF(A196="","",Journal_Import!Z196)</x:f>
      </x:c>
    </x:row>
    <x:row r="197">
      <x:c r="A197" s="18">
        <x:f>IF(Journal_Import!A197="","",Journal_Import!A197)</x:f>
      </x:c>
      <x:c r="B197" s="18">
        <x:f>IF(A197="","",Journal_Import!B197)</x:f>
      </x:c>
      <x:c r="C197" s="18">
        <x:f>IF(A197="","",Journal_Import!I197)</x:f>
      </x:c>
      <x:c r="D197" s="18">
        <x:f>IF(A197="","",Journal_Import!J197)</x:f>
      </x:c>
      <x:c r="E197" s="19">
        <x:f>IF(A197="","",Journal_Import!D197)</x:f>
      </x:c>
      <x:c r="F197" s="19">
        <x:f>IF(A197="","",Journal_Import!F197)</x:f>
      </x:c>
      <x:c r="G197" s="19">
        <x:f>IF(A197="","",Journal_Import!G197)</x:f>
      </x:c>
      <x:c r="H197" s="19">
        <x:f>IF(A197="","",Journal_Import!H197)</x:f>
      </x:c>
      <x:c r="I197" s="12">
        <x:f>IF(A197="","",Journal_Import!S197)</x:f>
      </x:c>
      <x:c r="J197" s="12">
        <x:f>IF(A197="","",Journal_Import!T197)</x:f>
      </x:c>
      <x:c r="K197" s="12">
        <x:f>IF(C197="","",IF(C197=C196,K196+I197-J197,IFERROR(INDEX(COA_Master!$N:$N,MATCH(C197,COA_Master!$A:$A,0)),0)+I197-J197))</x:f>
      </x:c>
      <x:c r="L197" s="19">
        <x:f>IF(A197="","",IF(IFERROR(INDEX(COA_Master!$G:$G,MATCH(C197,COA_Master!$A:$A,0)),"Debit")="Debit",IF(K197&gt;=0,"Debit","Credit"),IF(K197&gt;=0,"Credit","Debit")))</x:f>
      </x:c>
      <x:c r="M197" s="19">
        <x:f>IF(A197="","",Journal_Import!V197)</x:f>
      </x:c>
      <x:c r="N197" s="19">
        <x:f>IF(A197="","",Journal_Import!W197)</x:f>
      </x:c>
      <x:c r="O197" s="19">
        <x:f>IF(A197="","",Journal_Import!Z197)</x:f>
      </x:c>
    </x:row>
    <x:row r="198">
      <x:c r="A198" s="18">
        <x:f>IF(Journal_Import!A198="","",Journal_Import!A198)</x:f>
      </x:c>
      <x:c r="B198" s="18">
        <x:f>IF(A198="","",Journal_Import!B198)</x:f>
      </x:c>
      <x:c r="C198" s="18">
        <x:f>IF(A198="","",Journal_Import!I198)</x:f>
      </x:c>
      <x:c r="D198" s="18">
        <x:f>IF(A198="","",Journal_Import!J198)</x:f>
      </x:c>
      <x:c r="E198" s="19">
        <x:f>IF(A198="","",Journal_Import!D198)</x:f>
      </x:c>
      <x:c r="F198" s="19">
        <x:f>IF(A198="","",Journal_Import!F198)</x:f>
      </x:c>
      <x:c r="G198" s="19">
        <x:f>IF(A198="","",Journal_Import!G198)</x:f>
      </x:c>
      <x:c r="H198" s="19">
        <x:f>IF(A198="","",Journal_Import!H198)</x:f>
      </x:c>
      <x:c r="I198" s="12">
        <x:f>IF(A198="","",Journal_Import!S198)</x:f>
      </x:c>
      <x:c r="J198" s="12">
        <x:f>IF(A198="","",Journal_Import!T198)</x:f>
      </x:c>
      <x:c r="K198" s="12">
        <x:f>IF(C198="","",IF(C198=C197,K197+I198-J198,IFERROR(INDEX(COA_Master!$N:$N,MATCH(C198,COA_Master!$A:$A,0)),0)+I198-J198))</x:f>
      </x:c>
      <x:c r="L198" s="19">
        <x:f>IF(A198="","",IF(IFERROR(INDEX(COA_Master!$G:$G,MATCH(C198,COA_Master!$A:$A,0)),"Debit")="Debit",IF(K198&gt;=0,"Debit","Credit"),IF(K198&gt;=0,"Credit","Debit")))</x:f>
      </x:c>
      <x:c r="M198" s="19">
        <x:f>IF(A198="","",Journal_Import!V198)</x:f>
      </x:c>
      <x:c r="N198" s="19">
        <x:f>IF(A198="","",Journal_Import!W198)</x:f>
      </x:c>
      <x:c r="O198" s="19">
        <x:f>IF(A198="","",Journal_Import!Z198)</x:f>
      </x:c>
    </x:row>
    <x:row r="199">
      <x:c r="A199" s="18">
        <x:f>IF(Journal_Import!A199="","",Journal_Import!A199)</x:f>
      </x:c>
      <x:c r="B199" s="18">
        <x:f>IF(A199="","",Journal_Import!B199)</x:f>
      </x:c>
      <x:c r="C199" s="18">
        <x:f>IF(A199="","",Journal_Import!I199)</x:f>
      </x:c>
      <x:c r="D199" s="18">
        <x:f>IF(A199="","",Journal_Import!J199)</x:f>
      </x:c>
      <x:c r="E199" s="19">
        <x:f>IF(A199="","",Journal_Import!D199)</x:f>
      </x:c>
      <x:c r="F199" s="19">
        <x:f>IF(A199="","",Journal_Import!F199)</x:f>
      </x:c>
      <x:c r="G199" s="19">
        <x:f>IF(A199="","",Journal_Import!G199)</x:f>
      </x:c>
      <x:c r="H199" s="19">
        <x:f>IF(A199="","",Journal_Import!H199)</x:f>
      </x:c>
      <x:c r="I199" s="12">
        <x:f>IF(A199="","",Journal_Import!S199)</x:f>
      </x:c>
      <x:c r="J199" s="12">
        <x:f>IF(A199="","",Journal_Import!T199)</x:f>
      </x:c>
      <x:c r="K199" s="12">
        <x:f>IF(C199="","",IF(C199=C198,K198+I199-J199,IFERROR(INDEX(COA_Master!$N:$N,MATCH(C199,COA_Master!$A:$A,0)),0)+I199-J199))</x:f>
      </x:c>
      <x:c r="L199" s="19">
        <x:f>IF(A199="","",IF(IFERROR(INDEX(COA_Master!$G:$G,MATCH(C199,COA_Master!$A:$A,0)),"Debit")="Debit",IF(K199&gt;=0,"Debit","Credit"),IF(K199&gt;=0,"Credit","Debit")))</x:f>
      </x:c>
      <x:c r="M199" s="19">
        <x:f>IF(A199="","",Journal_Import!V199)</x:f>
      </x:c>
      <x:c r="N199" s="19">
        <x:f>IF(A199="","",Journal_Import!W199)</x:f>
      </x:c>
      <x:c r="O199" s="19">
        <x:f>IF(A199="","",Journal_Import!Z199)</x:f>
      </x:c>
    </x:row>
    <x:row r="200">
      <x:c r="A200" s="18">
        <x:f>IF(Journal_Import!A200="","",Journal_Import!A200)</x:f>
      </x:c>
      <x:c r="B200" s="18">
        <x:f>IF(A200="","",Journal_Import!B200)</x:f>
      </x:c>
      <x:c r="C200" s="18">
        <x:f>IF(A200="","",Journal_Import!I200)</x:f>
      </x:c>
      <x:c r="D200" s="18">
        <x:f>IF(A200="","",Journal_Import!J200)</x:f>
      </x:c>
      <x:c r="E200" s="19">
        <x:f>IF(A200="","",Journal_Import!D200)</x:f>
      </x:c>
      <x:c r="F200" s="19">
        <x:f>IF(A200="","",Journal_Import!F200)</x:f>
      </x:c>
      <x:c r="G200" s="19">
        <x:f>IF(A200="","",Journal_Import!G200)</x:f>
      </x:c>
      <x:c r="H200" s="19">
        <x:f>IF(A200="","",Journal_Import!H200)</x:f>
      </x:c>
      <x:c r="I200" s="12">
        <x:f>IF(A200="","",Journal_Import!S200)</x:f>
      </x:c>
      <x:c r="J200" s="12">
        <x:f>IF(A200="","",Journal_Import!T200)</x:f>
      </x:c>
      <x:c r="K200" s="12">
        <x:f>IF(C200="","",IF(C200=C199,K199+I200-J200,IFERROR(INDEX(COA_Master!$N:$N,MATCH(C200,COA_Master!$A:$A,0)),0)+I200-J200))</x:f>
      </x:c>
      <x:c r="L200" s="19">
        <x:f>IF(A200="","",IF(IFERROR(INDEX(COA_Master!$G:$G,MATCH(C200,COA_Master!$A:$A,0)),"Debit")="Debit",IF(K200&gt;=0,"Debit","Credit"),IF(K200&gt;=0,"Credit","Debit")))</x:f>
      </x:c>
      <x:c r="M200" s="19">
        <x:f>IF(A200="","",Journal_Import!V200)</x:f>
      </x:c>
      <x:c r="N200" s="19">
        <x:f>IF(A200="","",Journal_Import!W200)</x:f>
      </x:c>
      <x:c r="O200" s="19">
        <x:f>IF(A200="","",Journal_Import!Z200)</x:f>
      </x:c>
    </x:row>
    <x:row r="201">
      <x:c r="A201" s="18">
        <x:f>IF(Journal_Import!A201="","",Journal_Import!A201)</x:f>
      </x:c>
      <x:c r="B201" s="18">
        <x:f>IF(A201="","",Journal_Import!B201)</x:f>
      </x:c>
      <x:c r="C201" s="18">
        <x:f>IF(A201="","",Journal_Import!I201)</x:f>
      </x:c>
      <x:c r="D201" s="18">
        <x:f>IF(A201="","",Journal_Import!J201)</x:f>
      </x:c>
      <x:c r="E201" s="19">
        <x:f>IF(A201="","",Journal_Import!D201)</x:f>
      </x:c>
      <x:c r="F201" s="19">
        <x:f>IF(A201="","",Journal_Import!F201)</x:f>
      </x:c>
      <x:c r="G201" s="19">
        <x:f>IF(A201="","",Journal_Import!G201)</x:f>
      </x:c>
      <x:c r="H201" s="19">
        <x:f>IF(A201="","",Journal_Import!H201)</x:f>
      </x:c>
      <x:c r="I201" s="12">
        <x:f>IF(A201="","",Journal_Import!S201)</x:f>
      </x:c>
      <x:c r="J201" s="12">
        <x:f>IF(A201="","",Journal_Import!T201)</x:f>
      </x:c>
      <x:c r="K201" s="12">
        <x:f>IF(C201="","",IF(C201=C200,K200+I201-J201,IFERROR(INDEX(COA_Master!$N:$N,MATCH(C201,COA_Master!$A:$A,0)),0)+I201-J201))</x:f>
      </x:c>
      <x:c r="L201" s="19">
        <x:f>IF(A201="","",IF(IFERROR(INDEX(COA_Master!$G:$G,MATCH(C201,COA_Master!$A:$A,0)),"Debit")="Debit",IF(K201&gt;=0,"Debit","Credit"),IF(K201&gt;=0,"Credit","Debit")))</x:f>
      </x:c>
      <x:c r="M201" s="19">
        <x:f>IF(A201="","",Journal_Import!V201)</x:f>
      </x:c>
      <x:c r="N201" s="19">
        <x:f>IF(A201="","",Journal_Import!W201)</x:f>
      </x:c>
      <x:c r="O201" s="19">
        <x:f>IF(A201="","",Journal_Import!Z201)</x:f>
      </x:c>
    </x:row>
    <x:row r="202">
      <x:c r="A202" s="18">
        <x:f>IF(Journal_Import!A202="","",Journal_Import!A202)</x:f>
      </x:c>
      <x:c r="B202" s="18">
        <x:f>IF(A202="","",Journal_Import!B202)</x:f>
      </x:c>
      <x:c r="C202" s="18">
        <x:f>IF(A202="","",Journal_Import!I202)</x:f>
      </x:c>
      <x:c r="D202" s="18">
        <x:f>IF(A202="","",Journal_Import!J202)</x:f>
      </x:c>
      <x:c r="E202" s="19">
        <x:f>IF(A202="","",Journal_Import!D202)</x:f>
      </x:c>
      <x:c r="F202" s="19">
        <x:f>IF(A202="","",Journal_Import!F202)</x:f>
      </x:c>
      <x:c r="G202" s="19">
        <x:f>IF(A202="","",Journal_Import!G202)</x:f>
      </x:c>
      <x:c r="H202" s="19">
        <x:f>IF(A202="","",Journal_Import!H202)</x:f>
      </x:c>
      <x:c r="I202" s="12">
        <x:f>IF(A202="","",Journal_Import!S202)</x:f>
      </x:c>
      <x:c r="J202" s="12">
        <x:f>IF(A202="","",Journal_Import!T202)</x:f>
      </x:c>
      <x:c r="K202" s="12">
        <x:f>IF(C202="","",IF(C202=C201,K201+I202-J202,IFERROR(INDEX(COA_Master!$N:$N,MATCH(C202,COA_Master!$A:$A,0)),0)+I202-J202))</x:f>
      </x:c>
      <x:c r="L202" s="19">
        <x:f>IF(A202="","",IF(IFERROR(INDEX(COA_Master!$G:$G,MATCH(C202,COA_Master!$A:$A,0)),"Debit")="Debit",IF(K202&gt;=0,"Debit","Credit"),IF(K202&gt;=0,"Credit","Debit")))</x:f>
      </x:c>
      <x:c r="M202" s="19">
        <x:f>IF(A202="","",Journal_Import!V202)</x:f>
      </x:c>
      <x:c r="N202" s="19">
        <x:f>IF(A202="","",Journal_Import!W202)</x:f>
      </x:c>
      <x:c r="O202" s="19">
        <x:f>IF(A202="","",Journal_Import!Z202)</x:f>
      </x:c>
    </x:row>
    <x:row r="203">
      <x:c r="A203" s="18">
        <x:f>IF(Journal_Import!A203="","",Journal_Import!A203)</x:f>
      </x:c>
      <x:c r="B203" s="18">
        <x:f>IF(A203="","",Journal_Import!B203)</x:f>
      </x:c>
      <x:c r="C203" s="18">
        <x:f>IF(A203="","",Journal_Import!I203)</x:f>
      </x:c>
      <x:c r="D203" s="18">
        <x:f>IF(A203="","",Journal_Import!J203)</x:f>
      </x:c>
      <x:c r="E203" s="19">
        <x:f>IF(A203="","",Journal_Import!D203)</x:f>
      </x:c>
      <x:c r="F203" s="19">
        <x:f>IF(A203="","",Journal_Import!F203)</x:f>
      </x:c>
      <x:c r="G203" s="19">
        <x:f>IF(A203="","",Journal_Import!G203)</x:f>
      </x:c>
      <x:c r="H203" s="19">
        <x:f>IF(A203="","",Journal_Import!H203)</x:f>
      </x:c>
      <x:c r="I203" s="12">
        <x:f>IF(A203="","",Journal_Import!S203)</x:f>
      </x:c>
      <x:c r="J203" s="12">
        <x:f>IF(A203="","",Journal_Import!T203)</x:f>
      </x:c>
      <x:c r="K203" s="12">
        <x:f>IF(C203="","",IF(C203=C202,K202+I203-J203,IFERROR(INDEX(COA_Master!$N:$N,MATCH(C203,COA_Master!$A:$A,0)),0)+I203-J203))</x:f>
      </x:c>
      <x:c r="L203" s="19">
        <x:f>IF(A203="","",IF(IFERROR(INDEX(COA_Master!$G:$G,MATCH(C203,COA_Master!$A:$A,0)),"Debit")="Debit",IF(K203&gt;=0,"Debit","Credit"),IF(K203&gt;=0,"Credit","Debit")))</x:f>
      </x:c>
      <x:c r="M203" s="19">
        <x:f>IF(A203="","",Journal_Import!V203)</x:f>
      </x:c>
      <x:c r="N203" s="19">
        <x:f>IF(A203="","",Journal_Import!W203)</x:f>
      </x:c>
      <x:c r="O203" s="19">
        <x:f>IF(A203="","",Journal_Import!Z203)</x:f>
      </x:c>
    </x:row>
    <x:row r="204">
      <x:c r="A204" s="18">
        <x:f>IF(Journal_Import!A204="","",Journal_Import!A204)</x:f>
      </x:c>
      <x:c r="B204" s="18">
        <x:f>IF(A204="","",Journal_Import!B204)</x:f>
      </x:c>
      <x:c r="C204" s="18">
        <x:f>IF(A204="","",Journal_Import!I204)</x:f>
      </x:c>
      <x:c r="D204" s="18">
        <x:f>IF(A204="","",Journal_Import!J204)</x:f>
      </x:c>
      <x:c r="E204" s="19">
        <x:f>IF(A204="","",Journal_Import!D204)</x:f>
      </x:c>
      <x:c r="F204" s="19">
        <x:f>IF(A204="","",Journal_Import!F204)</x:f>
      </x:c>
      <x:c r="G204" s="19">
        <x:f>IF(A204="","",Journal_Import!G204)</x:f>
      </x:c>
      <x:c r="H204" s="19">
        <x:f>IF(A204="","",Journal_Import!H204)</x:f>
      </x:c>
      <x:c r="I204" s="12">
        <x:f>IF(A204="","",Journal_Import!S204)</x:f>
      </x:c>
      <x:c r="J204" s="12">
        <x:f>IF(A204="","",Journal_Import!T204)</x:f>
      </x:c>
      <x:c r="K204" s="12">
        <x:f>IF(C204="","",IF(C204=C203,K203+I204-J204,IFERROR(INDEX(COA_Master!$N:$N,MATCH(C204,COA_Master!$A:$A,0)),0)+I204-J204))</x:f>
      </x:c>
      <x:c r="L204" s="19">
        <x:f>IF(A204="","",IF(IFERROR(INDEX(COA_Master!$G:$G,MATCH(C204,COA_Master!$A:$A,0)),"Debit")="Debit",IF(K204&gt;=0,"Debit","Credit"),IF(K204&gt;=0,"Credit","Debit")))</x:f>
      </x:c>
      <x:c r="M204" s="19">
        <x:f>IF(A204="","",Journal_Import!V204)</x:f>
      </x:c>
      <x:c r="N204" s="19">
        <x:f>IF(A204="","",Journal_Import!W204)</x:f>
      </x:c>
      <x:c r="O204" s="19">
        <x:f>IF(A204="","",Journal_Import!Z204)</x:f>
      </x:c>
    </x:row>
    <x:row r="205">
      <x:c r="A205" s="18">
        <x:f>IF(Journal_Import!A205="","",Journal_Import!A205)</x:f>
      </x:c>
      <x:c r="B205" s="18">
        <x:f>IF(A205="","",Journal_Import!B205)</x:f>
      </x:c>
      <x:c r="C205" s="18">
        <x:f>IF(A205="","",Journal_Import!I205)</x:f>
      </x:c>
      <x:c r="D205" s="18">
        <x:f>IF(A205="","",Journal_Import!J205)</x:f>
      </x:c>
      <x:c r="E205" s="19">
        <x:f>IF(A205="","",Journal_Import!D205)</x:f>
      </x:c>
      <x:c r="F205" s="19">
        <x:f>IF(A205="","",Journal_Import!F205)</x:f>
      </x:c>
      <x:c r="G205" s="19">
        <x:f>IF(A205="","",Journal_Import!G205)</x:f>
      </x:c>
      <x:c r="H205" s="19">
        <x:f>IF(A205="","",Journal_Import!H205)</x:f>
      </x:c>
      <x:c r="I205" s="12">
        <x:f>IF(A205="","",Journal_Import!S205)</x:f>
      </x:c>
      <x:c r="J205" s="12">
        <x:f>IF(A205="","",Journal_Import!T205)</x:f>
      </x:c>
      <x:c r="K205" s="12">
        <x:f>IF(C205="","",IF(C205=C204,K204+I205-J205,IFERROR(INDEX(COA_Master!$N:$N,MATCH(C205,COA_Master!$A:$A,0)),0)+I205-J205))</x:f>
      </x:c>
      <x:c r="L205" s="19">
        <x:f>IF(A205="","",IF(IFERROR(INDEX(COA_Master!$G:$G,MATCH(C205,COA_Master!$A:$A,0)),"Debit")="Debit",IF(K205&gt;=0,"Debit","Credit"),IF(K205&gt;=0,"Credit","Debit")))</x:f>
      </x:c>
      <x:c r="M205" s="19">
        <x:f>IF(A205="","",Journal_Import!V205)</x:f>
      </x:c>
      <x:c r="N205" s="19">
        <x:f>IF(A205="","",Journal_Import!W205)</x:f>
      </x:c>
      <x:c r="O205" s="19">
        <x:f>IF(A205="","",Journal_Import!Z205)</x:f>
      </x:c>
    </x:row>
    <x:row r="206">
      <x:c r="A206" s="18">
        <x:f>IF(Journal_Import!A206="","",Journal_Import!A206)</x:f>
      </x:c>
      <x:c r="B206" s="18">
        <x:f>IF(A206="","",Journal_Import!B206)</x:f>
      </x:c>
      <x:c r="C206" s="18">
        <x:f>IF(A206="","",Journal_Import!I206)</x:f>
      </x:c>
      <x:c r="D206" s="18">
        <x:f>IF(A206="","",Journal_Import!J206)</x:f>
      </x:c>
      <x:c r="E206" s="19">
        <x:f>IF(A206="","",Journal_Import!D206)</x:f>
      </x:c>
      <x:c r="F206" s="19">
        <x:f>IF(A206="","",Journal_Import!F206)</x:f>
      </x:c>
      <x:c r="G206" s="19">
        <x:f>IF(A206="","",Journal_Import!G206)</x:f>
      </x:c>
      <x:c r="H206" s="19">
        <x:f>IF(A206="","",Journal_Import!H206)</x:f>
      </x:c>
      <x:c r="I206" s="12">
        <x:f>IF(A206="","",Journal_Import!S206)</x:f>
      </x:c>
      <x:c r="J206" s="12">
        <x:f>IF(A206="","",Journal_Import!T206)</x:f>
      </x:c>
      <x:c r="K206" s="12">
        <x:f>IF(C206="","",IF(C206=C205,K205+I206-J206,IFERROR(INDEX(COA_Master!$N:$N,MATCH(C206,COA_Master!$A:$A,0)),0)+I206-J206))</x:f>
      </x:c>
      <x:c r="L206" s="19">
        <x:f>IF(A206="","",IF(IFERROR(INDEX(COA_Master!$G:$G,MATCH(C206,COA_Master!$A:$A,0)),"Debit")="Debit",IF(K206&gt;=0,"Debit","Credit"),IF(K206&gt;=0,"Credit","Debit")))</x:f>
      </x:c>
      <x:c r="M206" s="19">
        <x:f>IF(A206="","",Journal_Import!V206)</x:f>
      </x:c>
      <x:c r="N206" s="19">
        <x:f>IF(A206="","",Journal_Import!W206)</x:f>
      </x:c>
      <x:c r="O206" s="19">
        <x:f>IF(A206="","",Journal_Import!Z206)</x:f>
      </x:c>
    </x:row>
    <x:row r="207">
      <x:c r="A207" s="18">
        <x:f>IF(Journal_Import!A207="","",Journal_Import!A207)</x:f>
      </x:c>
      <x:c r="B207" s="18">
        <x:f>IF(A207="","",Journal_Import!B207)</x:f>
      </x:c>
      <x:c r="C207" s="18">
        <x:f>IF(A207="","",Journal_Import!I207)</x:f>
      </x:c>
      <x:c r="D207" s="18">
        <x:f>IF(A207="","",Journal_Import!J207)</x:f>
      </x:c>
      <x:c r="E207" s="19">
        <x:f>IF(A207="","",Journal_Import!D207)</x:f>
      </x:c>
      <x:c r="F207" s="19">
        <x:f>IF(A207="","",Journal_Import!F207)</x:f>
      </x:c>
      <x:c r="G207" s="19">
        <x:f>IF(A207="","",Journal_Import!G207)</x:f>
      </x:c>
      <x:c r="H207" s="19">
        <x:f>IF(A207="","",Journal_Import!H207)</x:f>
      </x:c>
      <x:c r="I207" s="12">
        <x:f>IF(A207="","",Journal_Import!S207)</x:f>
      </x:c>
      <x:c r="J207" s="12">
        <x:f>IF(A207="","",Journal_Import!T207)</x:f>
      </x:c>
      <x:c r="K207" s="12">
        <x:f>IF(C207="","",IF(C207=C206,K206+I207-J207,IFERROR(INDEX(COA_Master!$N:$N,MATCH(C207,COA_Master!$A:$A,0)),0)+I207-J207))</x:f>
      </x:c>
      <x:c r="L207" s="19">
        <x:f>IF(A207="","",IF(IFERROR(INDEX(COA_Master!$G:$G,MATCH(C207,COA_Master!$A:$A,0)),"Debit")="Debit",IF(K207&gt;=0,"Debit","Credit"),IF(K207&gt;=0,"Credit","Debit")))</x:f>
      </x:c>
      <x:c r="M207" s="19">
        <x:f>IF(A207="","",Journal_Import!V207)</x:f>
      </x:c>
      <x:c r="N207" s="19">
        <x:f>IF(A207="","",Journal_Import!W207)</x:f>
      </x:c>
      <x:c r="O207" s="19">
        <x:f>IF(A207="","",Journal_Import!Z207)</x:f>
      </x:c>
    </x:row>
    <x:row r="208">
      <x:c r="A208" s="18">
        <x:f>IF(Journal_Import!A208="","",Journal_Import!A208)</x:f>
      </x:c>
      <x:c r="B208" s="18">
        <x:f>IF(A208="","",Journal_Import!B208)</x:f>
      </x:c>
      <x:c r="C208" s="18">
        <x:f>IF(A208="","",Journal_Import!I208)</x:f>
      </x:c>
      <x:c r="D208" s="18">
        <x:f>IF(A208="","",Journal_Import!J208)</x:f>
      </x:c>
      <x:c r="E208" s="19">
        <x:f>IF(A208="","",Journal_Import!D208)</x:f>
      </x:c>
      <x:c r="F208" s="19">
        <x:f>IF(A208="","",Journal_Import!F208)</x:f>
      </x:c>
      <x:c r="G208" s="19">
        <x:f>IF(A208="","",Journal_Import!G208)</x:f>
      </x:c>
      <x:c r="H208" s="19">
        <x:f>IF(A208="","",Journal_Import!H208)</x:f>
      </x:c>
      <x:c r="I208" s="12">
        <x:f>IF(A208="","",Journal_Import!S208)</x:f>
      </x:c>
      <x:c r="J208" s="12">
        <x:f>IF(A208="","",Journal_Import!T208)</x:f>
      </x:c>
      <x:c r="K208" s="12">
        <x:f>IF(C208="","",IF(C208=C207,K207+I208-J208,IFERROR(INDEX(COA_Master!$N:$N,MATCH(C208,COA_Master!$A:$A,0)),0)+I208-J208))</x:f>
      </x:c>
      <x:c r="L208" s="19">
        <x:f>IF(A208="","",IF(IFERROR(INDEX(COA_Master!$G:$G,MATCH(C208,COA_Master!$A:$A,0)),"Debit")="Debit",IF(K208&gt;=0,"Debit","Credit"),IF(K208&gt;=0,"Credit","Debit")))</x:f>
      </x:c>
      <x:c r="M208" s="19">
        <x:f>IF(A208="","",Journal_Import!V208)</x:f>
      </x:c>
      <x:c r="N208" s="19">
        <x:f>IF(A208="","",Journal_Import!W208)</x:f>
      </x:c>
      <x:c r="O208" s="19">
        <x:f>IF(A208="","",Journal_Import!Z208)</x:f>
      </x:c>
    </x:row>
    <x:row r="209">
      <x:c r="A209" s="18">
        <x:f>IF(Journal_Import!A209="","",Journal_Import!A209)</x:f>
      </x:c>
      <x:c r="B209" s="18">
        <x:f>IF(A209="","",Journal_Import!B209)</x:f>
      </x:c>
      <x:c r="C209" s="18">
        <x:f>IF(A209="","",Journal_Import!I209)</x:f>
      </x:c>
      <x:c r="D209" s="18">
        <x:f>IF(A209="","",Journal_Import!J209)</x:f>
      </x:c>
      <x:c r="E209" s="19">
        <x:f>IF(A209="","",Journal_Import!D209)</x:f>
      </x:c>
      <x:c r="F209" s="19">
        <x:f>IF(A209="","",Journal_Import!F209)</x:f>
      </x:c>
      <x:c r="G209" s="19">
        <x:f>IF(A209="","",Journal_Import!G209)</x:f>
      </x:c>
      <x:c r="H209" s="19">
        <x:f>IF(A209="","",Journal_Import!H209)</x:f>
      </x:c>
      <x:c r="I209" s="12">
        <x:f>IF(A209="","",Journal_Import!S209)</x:f>
      </x:c>
      <x:c r="J209" s="12">
        <x:f>IF(A209="","",Journal_Import!T209)</x:f>
      </x:c>
      <x:c r="K209" s="12">
        <x:f>IF(C209="","",IF(C209=C208,K208+I209-J209,IFERROR(INDEX(COA_Master!$N:$N,MATCH(C209,COA_Master!$A:$A,0)),0)+I209-J209))</x:f>
      </x:c>
      <x:c r="L209" s="19">
        <x:f>IF(A209="","",IF(IFERROR(INDEX(COA_Master!$G:$G,MATCH(C209,COA_Master!$A:$A,0)),"Debit")="Debit",IF(K209&gt;=0,"Debit","Credit"),IF(K209&gt;=0,"Credit","Debit")))</x:f>
      </x:c>
      <x:c r="M209" s="19">
        <x:f>IF(A209="","",Journal_Import!V209)</x:f>
      </x:c>
      <x:c r="N209" s="19">
        <x:f>IF(A209="","",Journal_Import!W209)</x:f>
      </x:c>
      <x:c r="O209" s="19">
        <x:f>IF(A209="","",Journal_Import!Z209)</x:f>
      </x:c>
    </x:row>
    <x:row r="210">
      <x:c r="A210" s="18">
        <x:f>IF(Journal_Import!A210="","",Journal_Import!A210)</x:f>
      </x:c>
      <x:c r="B210" s="18">
        <x:f>IF(A210="","",Journal_Import!B210)</x:f>
      </x:c>
      <x:c r="C210" s="18">
        <x:f>IF(A210="","",Journal_Import!I210)</x:f>
      </x:c>
      <x:c r="D210" s="18">
        <x:f>IF(A210="","",Journal_Import!J210)</x:f>
      </x:c>
      <x:c r="E210" s="19">
        <x:f>IF(A210="","",Journal_Import!D210)</x:f>
      </x:c>
      <x:c r="F210" s="19">
        <x:f>IF(A210="","",Journal_Import!F210)</x:f>
      </x:c>
      <x:c r="G210" s="19">
        <x:f>IF(A210="","",Journal_Import!G210)</x:f>
      </x:c>
      <x:c r="H210" s="19">
        <x:f>IF(A210="","",Journal_Import!H210)</x:f>
      </x:c>
      <x:c r="I210" s="12">
        <x:f>IF(A210="","",Journal_Import!S210)</x:f>
      </x:c>
      <x:c r="J210" s="12">
        <x:f>IF(A210="","",Journal_Import!T210)</x:f>
      </x:c>
      <x:c r="K210" s="12">
        <x:f>IF(C210="","",IF(C210=C209,K209+I210-J210,IFERROR(INDEX(COA_Master!$N:$N,MATCH(C210,COA_Master!$A:$A,0)),0)+I210-J210))</x:f>
      </x:c>
      <x:c r="L210" s="19">
        <x:f>IF(A210="","",IF(IFERROR(INDEX(COA_Master!$G:$G,MATCH(C210,COA_Master!$A:$A,0)),"Debit")="Debit",IF(K210&gt;=0,"Debit","Credit"),IF(K210&gt;=0,"Credit","Debit")))</x:f>
      </x:c>
      <x:c r="M210" s="19">
        <x:f>IF(A210="","",Journal_Import!V210)</x:f>
      </x:c>
      <x:c r="N210" s="19">
        <x:f>IF(A210="","",Journal_Import!W210)</x:f>
      </x:c>
      <x:c r="O210" s="19">
        <x:f>IF(A210="","",Journal_Import!Z210)</x:f>
      </x:c>
    </x:row>
    <x:row r="211">
      <x:c r="A211" s="18">
        <x:f>IF(Journal_Import!A211="","",Journal_Import!A211)</x:f>
      </x:c>
      <x:c r="B211" s="18">
        <x:f>IF(A211="","",Journal_Import!B211)</x:f>
      </x:c>
      <x:c r="C211" s="18">
        <x:f>IF(A211="","",Journal_Import!I211)</x:f>
      </x:c>
      <x:c r="D211" s="18">
        <x:f>IF(A211="","",Journal_Import!J211)</x:f>
      </x:c>
      <x:c r="E211" s="19">
        <x:f>IF(A211="","",Journal_Import!D211)</x:f>
      </x:c>
      <x:c r="F211" s="19">
        <x:f>IF(A211="","",Journal_Import!F211)</x:f>
      </x:c>
      <x:c r="G211" s="19">
        <x:f>IF(A211="","",Journal_Import!G211)</x:f>
      </x:c>
      <x:c r="H211" s="19">
        <x:f>IF(A211="","",Journal_Import!H211)</x:f>
      </x:c>
      <x:c r="I211" s="12">
        <x:f>IF(A211="","",Journal_Import!S211)</x:f>
      </x:c>
      <x:c r="J211" s="12">
        <x:f>IF(A211="","",Journal_Import!T211)</x:f>
      </x:c>
      <x:c r="K211" s="12">
        <x:f>IF(C211="","",IF(C211=C210,K210+I211-J211,IFERROR(INDEX(COA_Master!$N:$N,MATCH(C211,COA_Master!$A:$A,0)),0)+I211-J211))</x:f>
      </x:c>
      <x:c r="L211" s="19">
        <x:f>IF(A211="","",IF(IFERROR(INDEX(COA_Master!$G:$G,MATCH(C211,COA_Master!$A:$A,0)),"Debit")="Debit",IF(K211&gt;=0,"Debit","Credit"),IF(K211&gt;=0,"Credit","Debit")))</x:f>
      </x:c>
      <x:c r="M211" s="19">
        <x:f>IF(A211="","",Journal_Import!V211)</x:f>
      </x:c>
      <x:c r="N211" s="19">
        <x:f>IF(A211="","",Journal_Import!W211)</x:f>
      </x:c>
      <x:c r="O211" s="19">
        <x:f>IF(A211="","",Journal_Import!Z211)</x:f>
      </x:c>
    </x:row>
    <x:row r="212">
      <x:c r="A212" s="18">
        <x:f>IF(Journal_Import!A212="","",Journal_Import!A212)</x:f>
      </x:c>
      <x:c r="B212" s="18">
        <x:f>IF(A212="","",Journal_Import!B212)</x:f>
      </x:c>
      <x:c r="C212" s="18">
        <x:f>IF(A212="","",Journal_Import!I212)</x:f>
      </x:c>
      <x:c r="D212" s="18">
        <x:f>IF(A212="","",Journal_Import!J212)</x:f>
      </x:c>
      <x:c r="E212" s="19">
        <x:f>IF(A212="","",Journal_Import!D212)</x:f>
      </x:c>
      <x:c r="F212" s="19">
        <x:f>IF(A212="","",Journal_Import!F212)</x:f>
      </x:c>
      <x:c r="G212" s="19">
        <x:f>IF(A212="","",Journal_Import!G212)</x:f>
      </x:c>
      <x:c r="H212" s="19">
        <x:f>IF(A212="","",Journal_Import!H212)</x:f>
      </x:c>
      <x:c r="I212" s="12">
        <x:f>IF(A212="","",Journal_Import!S212)</x:f>
      </x:c>
      <x:c r="J212" s="12">
        <x:f>IF(A212="","",Journal_Import!T212)</x:f>
      </x:c>
      <x:c r="K212" s="12">
        <x:f>IF(C212="","",IF(C212=C211,K211+I212-J212,IFERROR(INDEX(COA_Master!$N:$N,MATCH(C212,COA_Master!$A:$A,0)),0)+I212-J212))</x:f>
      </x:c>
      <x:c r="L212" s="19">
        <x:f>IF(A212="","",IF(IFERROR(INDEX(COA_Master!$G:$G,MATCH(C212,COA_Master!$A:$A,0)),"Debit")="Debit",IF(K212&gt;=0,"Debit","Credit"),IF(K212&gt;=0,"Credit","Debit")))</x:f>
      </x:c>
      <x:c r="M212" s="19">
        <x:f>IF(A212="","",Journal_Import!V212)</x:f>
      </x:c>
      <x:c r="N212" s="19">
        <x:f>IF(A212="","",Journal_Import!W212)</x:f>
      </x:c>
      <x:c r="O212" s="19">
        <x:f>IF(A212="","",Journal_Import!Z212)</x:f>
      </x:c>
    </x:row>
    <x:row r="213">
      <x:c r="A213" s="18">
        <x:f>IF(Journal_Import!A213="","",Journal_Import!A213)</x:f>
      </x:c>
      <x:c r="B213" s="18">
        <x:f>IF(A213="","",Journal_Import!B213)</x:f>
      </x:c>
      <x:c r="C213" s="18">
        <x:f>IF(A213="","",Journal_Import!I213)</x:f>
      </x:c>
      <x:c r="D213" s="18">
        <x:f>IF(A213="","",Journal_Import!J213)</x:f>
      </x:c>
      <x:c r="E213" s="19">
        <x:f>IF(A213="","",Journal_Import!D213)</x:f>
      </x:c>
      <x:c r="F213" s="19">
        <x:f>IF(A213="","",Journal_Import!F213)</x:f>
      </x:c>
      <x:c r="G213" s="19">
        <x:f>IF(A213="","",Journal_Import!G213)</x:f>
      </x:c>
      <x:c r="H213" s="19">
        <x:f>IF(A213="","",Journal_Import!H213)</x:f>
      </x:c>
      <x:c r="I213" s="12">
        <x:f>IF(A213="","",Journal_Import!S213)</x:f>
      </x:c>
      <x:c r="J213" s="12">
        <x:f>IF(A213="","",Journal_Import!T213)</x:f>
      </x:c>
      <x:c r="K213" s="12">
        <x:f>IF(C213="","",IF(C213=C212,K212+I213-J213,IFERROR(INDEX(COA_Master!$N:$N,MATCH(C213,COA_Master!$A:$A,0)),0)+I213-J213))</x:f>
      </x:c>
      <x:c r="L213" s="19">
        <x:f>IF(A213="","",IF(IFERROR(INDEX(COA_Master!$G:$G,MATCH(C213,COA_Master!$A:$A,0)),"Debit")="Debit",IF(K213&gt;=0,"Debit","Credit"),IF(K213&gt;=0,"Credit","Debit")))</x:f>
      </x:c>
      <x:c r="M213" s="19">
        <x:f>IF(A213="","",Journal_Import!V213)</x:f>
      </x:c>
      <x:c r="N213" s="19">
        <x:f>IF(A213="","",Journal_Import!W213)</x:f>
      </x:c>
      <x:c r="O213" s="19">
        <x:f>IF(A213="","",Journal_Import!Z213)</x:f>
      </x:c>
    </x:row>
    <x:row r="214">
      <x:c r="A214" s="18">
        <x:f>IF(Journal_Import!A214="","",Journal_Import!A214)</x:f>
      </x:c>
      <x:c r="B214" s="18">
        <x:f>IF(A214="","",Journal_Import!B214)</x:f>
      </x:c>
      <x:c r="C214" s="18">
        <x:f>IF(A214="","",Journal_Import!I214)</x:f>
      </x:c>
      <x:c r="D214" s="18">
        <x:f>IF(A214="","",Journal_Import!J214)</x:f>
      </x:c>
      <x:c r="E214" s="19">
        <x:f>IF(A214="","",Journal_Import!D214)</x:f>
      </x:c>
      <x:c r="F214" s="19">
        <x:f>IF(A214="","",Journal_Import!F214)</x:f>
      </x:c>
      <x:c r="G214" s="19">
        <x:f>IF(A214="","",Journal_Import!G214)</x:f>
      </x:c>
      <x:c r="H214" s="19">
        <x:f>IF(A214="","",Journal_Import!H214)</x:f>
      </x:c>
      <x:c r="I214" s="12">
        <x:f>IF(A214="","",Journal_Import!S214)</x:f>
      </x:c>
      <x:c r="J214" s="12">
        <x:f>IF(A214="","",Journal_Import!T214)</x:f>
      </x:c>
      <x:c r="K214" s="12">
        <x:f>IF(C214="","",IF(C214=C213,K213+I214-J214,IFERROR(INDEX(COA_Master!$N:$N,MATCH(C214,COA_Master!$A:$A,0)),0)+I214-J214))</x:f>
      </x:c>
      <x:c r="L214" s="19">
        <x:f>IF(A214="","",IF(IFERROR(INDEX(COA_Master!$G:$G,MATCH(C214,COA_Master!$A:$A,0)),"Debit")="Debit",IF(K214&gt;=0,"Debit","Credit"),IF(K214&gt;=0,"Credit","Debit")))</x:f>
      </x:c>
      <x:c r="M214" s="19">
        <x:f>IF(A214="","",Journal_Import!V214)</x:f>
      </x:c>
      <x:c r="N214" s="19">
        <x:f>IF(A214="","",Journal_Import!W214)</x:f>
      </x:c>
      <x:c r="O214" s="19">
        <x:f>IF(A214="","",Journal_Import!Z214)</x:f>
      </x:c>
    </x:row>
    <x:row r="215">
      <x:c r="A215" s="18">
        <x:f>IF(Journal_Import!A215="","",Journal_Import!A215)</x:f>
      </x:c>
      <x:c r="B215" s="18">
        <x:f>IF(A215="","",Journal_Import!B215)</x:f>
      </x:c>
      <x:c r="C215" s="18">
        <x:f>IF(A215="","",Journal_Import!I215)</x:f>
      </x:c>
      <x:c r="D215" s="18">
        <x:f>IF(A215="","",Journal_Import!J215)</x:f>
      </x:c>
      <x:c r="E215" s="19">
        <x:f>IF(A215="","",Journal_Import!D215)</x:f>
      </x:c>
      <x:c r="F215" s="19">
        <x:f>IF(A215="","",Journal_Import!F215)</x:f>
      </x:c>
      <x:c r="G215" s="19">
        <x:f>IF(A215="","",Journal_Import!G215)</x:f>
      </x:c>
      <x:c r="H215" s="19">
        <x:f>IF(A215="","",Journal_Import!H215)</x:f>
      </x:c>
      <x:c r="I215" s="12">
        <x:f>IF(A215="","",Journal_Import!S215)</x:f>
      </x:c>
      <x:c r="J215" s="12">
        <x:f>IF(A215="","",Journal_Import!T215)</x:f>
      </x:c>
      <x:c r="K215" s="12">
        <x:f>IF(C215="","",IF(C215=C214,K214+I215-J215,IFERROR(INDEX(COA_Master!$N:$N,MATCH(C215,COA_Master!$A:$A,0)),0)+I215-J215))</x:f>
      </x:c>
      <x:c r="L215" s="19">
        <x:f>IF(A215="","",IF(IFERROR(INDEX(COA_Master!$G:$G,MATCH(C215,COA_Master!$A:$A,0)),"Debit")="Debit",IF(K215&gt;=0,"Debit","Credit"),IF(K215&gt;=0,"Credit","Debit")))</x:f>
      </x:c>
      <x:c r="M215" s="19">
        <x:f>IF(A215="","",Journal_Import!V215)</x:f>
      </x:c>
      <x:c r="N215" s="19">
        <x:f>IF(A215="","",Journal_Import!W215)</x:f>
      </x:c>
      <x:c r="O215" s="19">
        <x:f>IF(A215="","",Journal_Import!Z215)</x:f>
      </x:c>
    </x:row>
    <x:row r="216">
      <x:c r="A216" s="18">
        <x:f>IF(Journal_Import!A216="","",Journal_Import!A216)</x:f>
      </x:c>
      <x:c r="B216" s="18">
        <x:f>IF(A216="","",Journal_Import!B216)</x:f>
      </x:c>
      <x:c r="C216" s="18">
        <x:f>IF(A216="","",Journal_Import!I216)</x:f>
      </x:c>
      <x:c r="D216" s="18">
        <x:f>IF(A216="","",Journal_Import!J216)</x:f>
      </x:c>
      <x:c r="E216" s="19">
        <x:f>IF(A216="","",Journal_Import!D216)</x:f>
      </x:c>
      <x:c r="F216" s="19">
        <x:f>IF(A216="","",Journal_Import!F216)</x:f>
      </x:c>
      <x:c r="G216" s="19">
        <x:f>IF(A216="","",Journal_Import!G216)</x:f>
      </x:c>
      <x:c r="H216" s="19">
        <x:f>IF(A216="","",Journal_Import!H216)</x:f>
      </x:c>
      <x:c r="I216" s="12">
        <x:f>IF(A216="","",Journal_Import!S216)</x:f>
      </x:c>
      <x:c r="J216" s="12">
        <x:f>IF(A216="","",Journal_Import!T216)</x:f>
      </x:c>
      <x:c r="K216" s="12">
        <x:f>IF(C216="","",IF(C216=C215,K215+I216-J216,IFERROR(INDEX(COA_Master!$N:$N,MATCH(C216,COA_Master!$A:$A,0)),0)+I216-J216))</x:f>
      </x:c>
      <x:c r="L216" s="19">
        <x:f>IF(A216="","",IF(IFERROR(INDEX(COA_Master!$G:$G,MATCH(C216,COA_Master!$A:$A,0)),"Debit")="Debit",IF(K216&gt;=0,"Debit","Credit"),IF(K216&gt;=0,"Credit","Debit")))</x:f>
      </x:c>
      <x:c r="M216" s="19">
        <x:f>IF(A216="","",Journal_Import!V216)</x:f>
      </x:c>
      <x:c r="N216" s="19">
        <x:f>IF(A216="","",Journal_Import!W216)</x:f>
      </x:c>
      <x:c r="O216" s="19">
        <x:f>IF(A216="","",Journal_Import!Z216)</x:f>
      </x:c>
    </x:row>
    <x:row r="217">
      <x:c r="A217" s="18">
        <x:f>IF(Journal_Import!A217="","",Journal_Import!A217)</x:f>
      </x:c>
      <x:c r="B217" s="18">
        <x:f>IF(A217="","",Journal_Import!B217)</x:f>
      </x:c>
      <x:c r="C217" s="18">
        <x:f>IF(A217="","",Journal_Import!I217)</x:f>
      </x:c>
      <x:c r="D217" s="18">
        <x:f>IF(A217="","",Journal_Import!J217)</x:f>
      </x:c>
      <x:c r="E217" s="19">
        <x:f>IF(A217="","",Journal_Import!D217)</x:f>
      </x:c>
      <x:c r="F217" s="19">
        <x:f>IF(A217="","",Journal_Import!F217)</x:f>
      </x:c>
      <x:c r="G217" s="19">
        <x:f>IF(A217="","",Journal_Import!G217)</x:f>
      </x:c>
      <x:c r="H217" s="19">
        <x:f>IF(A217="","",Journal_Import!H217)</x:f>
      </x:c>
      <x:c r="I217" s="12">
        <x:f>IF(A217="","",Journal_Import!S217)</x:f>
      </x:c>
      <x:c r="J217" s="12">
        <x:f>IF(A217="","",Journal_Import!T217)</x:f>
      </x:c>
      <x:c r="K217" s="12">
        <x:f>IF(C217="","",IF(C217=C216,K216+I217-J217,IFERROR(INDEX(COA_Master!$N:$N,MATCH(C217,COA_Master!$A:$A,0)),0)+I217-J217))</x:f>
      </x:c>
      <x:c r="L217" s="19">
        <x:f>IF(A217="","",IF(IFERROR(INDEX(COA_Master!$G:$G,MATCH(C217,COA_Master!$A:$A,0)),"Debit")="Debit",IF(K217&gt;=0,"Debit","Credit"),IF(K217&gt;=0,"Credit","Debit")))</x:f>
      </x:c>
      <x:c r="M217" s="19">
        <x:f>IF(A217="","",Journal_Import!V217)</x:f>
      </x:c>
      <x:c r="N217" s="19">
        <x:f>IF(A217="","",Journal_Import!W217)</x:f>
      </x:c>
      <x:c r="O217" s="19">
        <x:f>IF(A217="","",Journal_Import!Z217)</x:f>
      </x:c>
    </x:row>
    <x:row r="218">
      <x:c r="A218" s="18">
        <x:f>IF(Journal_Import!A218="","",Journal_Import!A218)</x:f>
      </x:c>
      <x:c r="B218" s="18">
        <x:f>IF(A218="","",Journal_Import!B218)</x:f>
      </x:c>
      <x:c r="C218" s="18">
        <x:f>IF(A218="","",Journal_Import!I218)</x:f>
      </x:c>
      <x:c r="D218" s="18">
        <x:f>IF(A218="","",Journal_Import!J218)</x:f>
      </x:c>
      <x:c r="E218" s="19">
        <x:f>IF(A218="","",Journal_Import!D218)</x:f>
      </x:c>
      <x:c r="F218" s="19">
        <x:f>IF(A218="","",Journal_Import!F218)</x:f>
      </x:c>
      <x:c r="G218" s="19">
        <x:f>IF(A218="","",Journal_Import!G218)</x:f>
      </x:c>
      <x:c r="H218" s="19">
        <x:f>IF(A218="","",Journal_Import!H218)</x:f>
      </x:c>
      <x:c r="I218" s="12">
        <x:f>IF(A218="","",Journal_Import!S218)</x:f>
      </x:c>
      <x:c r="J218" s="12">
        <x:f>IF(A218="","",Journal_Import!T218)</x:f>
      </x:c>
      <x:c r="K218" s="12">
        <x:f>IF(C218="","",IF(C218=C217,K217+I218-J218,IFERROR(INDEX(COA_Master!$N:$N,MATCH(C218,COA_Master!$A:$A,0)),0)+I218-J218))</x:f>
      </x:c>
      <x:c r="L218" s="19">
        <x:f>IF(A218="","",IF(IFERROR(INDEX(COA_Master!$G:$G,MATCH(C218,COA_Master!$A:$A,0)),"Debit")="Debit",IF(K218&gt;=0,"Debit","Credit"),IF(K218&gt;=0,"Credit","Debit")))</x:f>
      </x:c>
      <x:c r="M218" s="19">
        <x:f>IF(A218="","",Journal_Import!V218)</x:f>
      </x:c>
      <x:c r="N218" s="19">
        <x:f>IF(A218="","",Journal_Import!W218)</x:f>
      </x:c>
      <x:c r="O218" s="19">
        <x:f>IF(A218="","",Journal_Import!Z218)</x:f>
      </x:c>
    </x:row>
    <x:row r="219">
      <x:c r="A219" s="18">
        <x:f>IF(Journal_Import!A219="","",Journal_Import!A219)</x:f>
      </x:c>
      <x:c r="B219" s="18">
        <x:f>IF(A219="","",Journal_Import!B219)</x:f>
      </x:c>
      <x:c r="C219" s="18">
        <x:f>IF(A219="","",Journal_Import!I219)</x:f>
      </x:c>
      <x:c r="D219" s="18">
        <x:f>IF(A219="","",Journal_Import!J219)</x:f>
      </x:c>
      <x:c r="E219" s="19">
        <x:f>IF(A219="","",Journal_Import!D219)</x:f>
      </x:c>
      <x:c r="F219" s="19">
        <x:f>IF(A219="","",Journal_Import!F219)</x:f>
      </x:c>
      <x:c r="G219" s="19">
        <x:f>IF(A219="","",Journal_Import!G219)</x:f>
      </x:c>
      <x:c r="H219" s="19">
        <x:f>IF(A219="","",Journal_Import!H219)</x:f>
      </x:c>
      <x:c r="I219" s="12">
        <x:f>IF(A219="","",Journal_Import!S219)</x:f>
      </x:c>
      <x:c r="J219" s="12">
        <x:f>IF(A219="","",Journal_Import!T219)</x:f>
      </x:c>
      <x:c r="K219" s="12">
        <x:f>IF(C219="","",IF(C219=C218,K218+I219-J219,IFERROR(INDEX(COA_Master!$N:$N,MATCH(C219,COA_Master!$A:$A,0)),0)+I219-J219))</x:f>
      </x:c>
      <x:c r="L219" s="19">
        <x:f>IF(A219="","",IF(IFERROR(INDEX(COA_Master!$G:$G,MATCH(C219,COA_Master!$A:$A,0)),"Debit")="Debit",IF(K219&gt;=0,"Debit","Credit"),IF(K219&gt;=0,"Credit","Debit")))</x:f>
      </x:c>
      <x:c r="M219" s="19">
        <x:f>IF(A219="","",Journal_Import!V219)</x:f>
      </x:c>
      <x:c r="N219" s="19">
        <x:f>IF(A219="","",Journal_Import!W219)</x:f>
      </x:c>
      <x:c r="O219" s="19">
        <x:f>IF(A219="","",Journal_Import!Z219)</x:f>
      </x:c>
    </x:row>
    <x:row r="220">
      <x:c r="A220" s="18">
        <x:f>IF(Journal_Import!A220="","",Journal_Import!A220)</x:f>
      </x:c>
      <x:c r="B220" s="18">
        <x:f>IF(A220="","",Journal_Import!B220)</x:f>
      </x:c>
      <x:c r="C220" s="18">
        <x:f>IF(A220="","",Journal_Import!I220)</x:f>
      </x:c>
      <x:c r="D220" s="18">
        <x:f>IF(A220="","",Journal_Import!J220)</x:f>
      </x:c>
      <x:c r="E220" s="19">
        <x:f>IF(A220="","",Journal_Import!D220)</x:f>
      </x:c>
      <x:c r="F220" s="19">
        <x:f>IF(A220="","",Journal_Import!F220)</x:f>
      </x:c>
      <x:c r="G220" s="19">
        <x:f>IF(A220="","",Journal_Import!G220)</x:f>
      </x:c>
      <x:c r="H220" s="19">
        <x:f>IF(A220="","",Journal_Import!H220)</x:f>
      </x:c>
      <x:c r="I220" s="12">
        <x:f>IF(A220="","",Journal_Import!S220)</x:f>
      </x:c>
      <x:c r="J220" s="12">
        <x:f>IF(A220="","",Journal_Import!T220)</x:f>
      </x:c>
      <x:c r="K220" s="12">
        <x:f>IF(C220="","",IF(C220=C219,K219+I220-J220,IFERROR(INDEX(COA_Master!$N:$N,MATCH(C220,COA_Master!$A:$A,0)),0)+I220-J220))</x:f>
      </x:c>
      <x:c r="L220" s="19">
        <x:f>IF(A220="","",IF(IFERROR(INDEX(COA_Master!$G:$G,MATCH(C220,COA_Master!$A:$A,0)),"Debit")="Debit",IF(K220&gt;=0,"Debit","Credit"),IF(K220&gt;=0,"Credit","Debit")))</x:f>
      </x:c>
      <x:c r="M220" s="19">
        <x:f>IF(A220="","",Journal_Import!V220)</x:f>
      </x:c>
      <x:c r="N220" s="19">
        <x:f>IF(A220="","",Journal_Import!W220)</x:f>
      </x:c>
      <x:c r="O220" s="19">
        <x:f>IF(A220="","",Journal_Import!Z220)</x:f>
      </x:c>
    </x:row>
    <x:row r="221">
      <x:c r="A221" s="18">
        <x:f>IF(Journal_Import!A221="","",Journal_Import!A221)</x:f>
      </x:c>
      <x:c r="B221" s="18">
        <x:f>IF(A221="","",Journal_Import!B221)</x:f>
      </x:c>
      <x:c r="C221" s="18">
        <x:f>IF(A221="","",Journal_Import!I221)</x:f>
      </x:c>
      <x:c r="D221" s="18">
        <x:f>IF(A221="","",Journal_Import!J221)</x:f>
      </x:c>
      <x:c r="E221" s="19">
        <x:f>IF(A221="","",Journal_Import!D221)</x:f>
      </x:c>
      <x:c r="F221" s="19">
        <x:f>IF(A221="","",Journal_Import!F221)</x:f>
      </x:c>
      <x:c r="G221" s="19">
        <x:f>IF(A221="","",Journal_Import!G221)</x:f>
      </x:c>
      <x:c r="H221" s="19">
        <x:f>IF(A221="","",Journal_Import!H221)</x:f>
      </x:c>
      <x:c r="I221" s="12">
        <x:f>IF(A221="","",Journal_Import!S221)</x:f>
      </x:c>
      <x:c r="J221" s="12">
        <x:f>IF(A221="","",Journal_Import!T221)</x:f>
      </x:c>
      <x:c r="K221" s="12">
        <x:f>IF(C221="","",IF(C221=C220,K220+I221-J221,IFERROR(INDEX(COA_Master!$N:$N,MATCH(C221,COA_Master!$A:$A,0)),0)+I221-J221))</x:f>
      </x:c>
      <x:c r="L221" s="19">
        <x:f>IF(A221="","",IF(IFERROR(INDEX(COA_Master!$G:$G,MATCH(C221,COA_Master!$A:$A,0)),"Debit")="Debit",IF(K221&gt;=0,"Debit","Credit"),IF(K221&gt;=0,"Credit","Debit")))</x:f>
      </x:c>
      <x:c r="M221" s="19">
        <x:f>IF(A221="","",Journal_Import!V221)</x:f>
      </x:c>
      <x:c r="N221" s="19">
        <x:f>IF(A221="","",Journal_Import!W221)</x:f>
      </x:c>
      <x:c r="O221" s="19">
        <x:f>IF(A221="","",Journal_Import!Z221)</x:f>
      </x:c>
    </x:row>
    <x:row r="222">
      <x:c r="A222" s="18">
        <x:f>IF(Journal_Import!A222="","",Journal_Import!A222)</x:f>
      </x:c>
      <x:c r="B222" s="18">
        <x:f>IF(A222="","",Journal_Import!B222)</x:f>
      </x:c>
      <x:c r="C222" s="18">
        <x:f>IF(A222="","",Journal_Import!I222)</x:f>
      </x:c>
      <x:c r="D222" s="18">
        <x:f>IF(A222="","",Journal_Import!J222)</x:f>
      </x:c>
      <x:c r="E222" s="19">
        <x:f>IF(A222="","",Journal_Import!D222)</x:f>
      </x:c>
      <x:c r="F222" s="19">
        <x:f>IF(A222="","",Journal_Import!F222)</x:f>
      </x:c>
      <x:c r="G222" s="19">
        <x:f>IF(A222="","",Journal_Import!G222)</x:f>
      </x:c>
      <x:c r="H222" s="19">
        <x:f>IF(A222="","",Journal_Import!H222)</x:f>
      </x:c>
      <x:c r="I222" s="12">
        <x:f>IF(A222="","",Journal_Import!S222)</x:f>
      </x:c>
      <x:c r="J222" s="12">
        <x:f>IF(A222="","",Journal_Import!T222)</x:f>
      </x:c>
      <x:c r="K222" s="12">
        <x:f>IF(C222="","",IF(C222=C221,K221+I222-J222,IFERROR(INDEX(COA_Master!$N:$N,MATCH(C222,COA_Master!$A:$A,0)),0)+I222-J222))</x:f>
      </x:c>
      <x:c r="L222" s="19">
        <x:f>IF(A222="","",IF(IFERROR(INDEX(COA_Master!$G:$G,MATCH(C222,COA_Master!$A:$A,0)),"Debit")="Debit",IF(K222&gt;=0,"Debit","Credit"),IF(K222&gt;=0,"Credit","Debit")))</x:f>
      </x:c>
      <x:c r="M222" s="19">
        <x:f>IF(A222="","",Journal_Import!V222)</x:f>
      </x:c>
      <x:c r="N222" s="19">
        <x:f>IF(A222="","",Journal_Import!W222)</x:f>
      </x:c>
      <x:c r="O222" s="19">
        <x:f>IF(A222="","",Journal_Import!Z222)</x:f>
      </x:c>
    </x:row>
    <x:row r="223">
      <x:c r="A223" s="18">
        <x:f>IF(Journal_Import!A223="","",Journal_Import!A223)</x:f>
      </x:c>
      <x:c r="B223" s="18">
        <x:f>IF(A223="","",Journal_Import!B223)</x:f>
      </x:c>
      <x:c r="C223" s="18">
        <x:f>IF(A223="","",Journal_Import!I223)</x:f>
      </x:c>
      <x:c r="D223" s="18">
        <x:f>IF(A223="","",Journal_Import!J223)</x:f>
      </x:c>
      <x:c r="E223" s="19">
        <x:f>IF(A223="","",Journal_Import!D223)</x:f>
      </x:c>
      <x:c r="F223" s="19">
        <x:f>IF(A223="","",Journal_Import!F223)</x:f>
      </x:c>
      <x:c r="G223" s="19">
        <x:f>IF(A223="","",Journal_Import!G223)</x:f>
      </x:c>
      <x:c r="H223" s="19">
        <x:f>IF(A223="","",Journal_Import!H223)</x:f>
      </x:c>
      <x:c r="I223" s="12">
        <x:f>IF(A223="","",Journal_Import!S223)</x:f>
      </x:c>
      <x:c r="J223" s="12">
        <x:f>IF(A223="","",Journal_Import!T223)</x:f>
      </x:c>
      <x:c r="K223" s="12">
        <x:f>IF(C223="","",IF(C223=C222,K222+I223-J223,IFERROR(INDEX(COA_Master!$N:$N,MATCH(C223,COA_Master!$A:$A,0)),0)+I223-J223))</x:f>
      </x:c>
      <x:c r="L223" s="19">
        <x:f>IF(A223="","",IF(IFERROR(INDEX(COA_Master!$G:$G,MATCH(C223,COA_Master!$A:$A,0)),"Debit")="Debit",IF(K223&gt;=0,"Debit","Credit"),IF(K223&gt;=0,"Credit","Debit")))</x:f>
      </x:c>
      <x:c r="M223" s="19">
        <x:f>IF(A223="","",Journal_Import!V223)</x:f>
      </x:c>
      <x:c r="N223" s="19">
        <x:f>IF(A223="","",Journal_Import!W223)</x:f>
      </x:c>
      <x:c r="O223" s="19">
        <x:f>IF(A223="","",Journal_Import!Z223)</x:f>
      </x:c>
    </x:row>
    <x:row r="224">
      <x:c r="A224" s="18">
        <x:f>IF(Journal_Import!A224="","",Journal_Import!A224)</x:f>
      </x:c>
      <x:c r="B224" s="18">
        <x:f>IF(A224="","",Journal_Import!B224)</x:f>
      </x:c>
      <x:c r="C224" s="18">
        <x:f>IF(A224="","",Journal_Import!I224)</x:f>
      </x:c>
      <x:c r="D224" s="18">
        <x:f>IF(A224="","",Journal_Import!J224)</x:f>
      </x:c>
      <x:c r="E224" s="19">
        <x:f>IF(A224="","",Journal_Import!D224)</x:f>
      </x:c>
      <x:c r="F224" s="19">
        <x:f>IF(A224="","",Journal_Import!F224)</x:f>
      </x:c>
      <x:c r="G224" s="19">
        <x:f>IF(A224="","",Journal_Import!G224)</x:f>
      </x:c>
      <x:c r="H224" s="19">
        <x:f>IF(A224="","",Journal_Import!H224)</x:f>
      </x:c>
      <x:c r="I224" s="12">
        <x:f>IF(A224="","",Journal_Import!S224)</x:f>
      </x:c>
      <x:c r="J224" s="12">
        <x:f>IF(A224="","",Journal_Import!T224)</x:f>
      </x:c>
      <x:c r="K224" s="12">
        <x:f>IF(C224="","",IF(C224=C223,K223+I224-J224,IFERROR(INDEX(COA_Master!$N:$N,MATCH(C224,COA_Master!$A:$A,0)),0)+I224-J224))</x:f>
      </x:c>
      <x:c r="L224" s="19">
        <x:f>IF(A224="","",IF(IFERROR(INDEX(COA_Master!$G:$G,MATCH(C224,COA_Master!$A:$A,0)),"Debit")="Debit",IF(K224&gt;=0,"Debit","Credit"),IF(K224&gt;=0,"Credit","Debit")))</x:f>
      </x:c>
      <x:c r="M224" s="19">
        <x:f>IF(A224="","",Journal_Import!V224)</x:f>
      </x:c>
      <x:c r="N224" s="19">
        <x:f>IF(A224="","",Journal_Import!W224)</x:f>
      </x:c>
      <x:c r="O224" s="19">
        <x:f>IF(A224="","",Journal_Import!Z224)</x:f>
      </x:c>
    </x:row>
    <x:row r="225">
      <x:c r="A225" s="18">
        <x:f>IF(Journal_Import!A225="","",Journal_Import!A225)</x:f>
      </x:c>
      <x:c r="B225" s="18">
        <x:f>IF(A225="","",Journal_Import!B225)</x:f>
      </x:c>
      <x:c r="C225" s="18">
        <x:f>IF(A225="","",Journal_Import!I225)</x:f>
      </x:c>
      <x:c r="D225" s="18">
        <x:f>IF(A225="","",Journal_Import!J225)</x:f>
      </x:c>
      <x:c r="E225" s="19">
        <x:f>IF(A225="","",Journal_Import!D225)</x:f>
      </x:c>
      <x:c r="F225" s="19">
        <x:f>IF(A225="","",Journal_Import!F225)</x:f>
      </x:c>
      <x:c r="G225" s="19">
        <x:f>IF(A225="","",Journal_Import!G225)</x:f>
      </x:c>
      <x:c r="H225" s="19">
        <x:f>IF(A225="","",Journal_Import!H225)</x:f>
      </x:c>
      <x:c r="I225" s="12">
        <x:f>IF(A225="","",Journal_Import!S225)</x:f>
      </x:c>
      <x:c r="J225" s="12">
        <x:f>IF(A225="","",Journal_Import!T225)</x:f>
      </x:c>
      <x:c r="K225" s="12">
        <x:f>IF(C225="","",IF(C225=C224,K224+I225-J225,IFERROR(INDEX(COA_Master!$N:$N,MATCH(C225,COA_Master!$A:$A,0)),0)+I225-J225))</x:f>
      </x:c>
      <x:c r="L225" s="19">
        <x:f>IF(A225="","",IF(IFERROR(INDEX(COA_Master!$G:$G,MATCH(C225,COA_Master!$A:$A,0)),"Debit")="Debit",IF(K225&gt;=0,"Debit","Credit"),IF(K225&gt;=0,"Credit","Debit")))</x:f>
      </x:c>
      <x:c r="M225" s="19">
        <x:f>IF(A225="","",Journal_Import!V225)</x:f>
      </x:c>
      <x:c r="N225" s="19">
        <x:f>IF(A225="","",Journal_Import!W225)</x:f>
      </x:c>
      <x:c r="O225" s="19">
        <x:f>IF(A225="","",Journal_Import!Z225)</x:f>
      </x:c>
    </x:row>
    <x:row r="226">
      <x:c r="A226" s="18">
        <x:f>IF(Journal_Import!A226="","",Journal_Import!A226)</x:f>
      </x:c>
      <x:c r="B226" s="18">
        <x:f>IF(A226="","",Journal_Import!B226)</x:f>
      </x:c>
      <x:c r="C226" s="18">
        <x:f>IF(A226="","",Journal_Import!I226)</x:f>
      </x:c>
      <x:c r="D226" s="18">
        <x:f>IF(A226="","",Journal_Import!J226)</x:f>
      </x:c>
      <x:c r="E226" s="19">
        <x:f>IF(A226="","",Journal_Import!D226)</x:f>
      </x:c>
      <x:c r="F226" s="19">
        <x:f>IF(A226="","",Journal_Import!F226)</x:f>
      </x:c>
      <x:c r="G226" s="19">
        <x:f>IF(A226="","",Journal_Import!G226)</x:f>
      </x:c>
      <x:c r="H226" s="19">
        <x:f>IF(A226="","",Journal_Import!H226)</x:f>
      </x:c>
      <x:c r="I226" s="12">
        <x:f>IF(A226="","",Journal_Import!S226)</x:f>
      </x:c>
      <x:c r="J226" s="12">
        <x:f>IF(A226="","",Journal_Import!T226)</x:f>
      </x:c>
      <x:c r="K226" s="12">
        <x:f>IF(C226="","",IF(C226=C225,K225+I226-J226,IFERROR(INDEX(COA_Master!$N:$N,MATCH(C226,COA_Master!$A:$A,0)),0)+I226-J226))</x:f>
      </x:c>
      <x:c r="L226" s="19">
        <x:f>IF(A226="","",IF(IFERROR(INDEX(COA_Master!$G:$G,MATCH(C226,COA_Master!$A:$A,0)),"Debit")="Debit",IF(K226&gt;=0,"Debit","Credit"),IF(K226&gt;=0,"Credit","Debit")))</x:f>
      </x:c>
      <x:c r="M226" s="19">
        <x:f>IF(A226="","",Journal_Import!V226)</x:f>
      </x:c>
      <x:c r="N226" s="19">
        <x:f>IF(A226="","",Journal_Import!W226)</x:f>
      </x:c>
      <x:c r="O226" s="19">
        <x:f>IF(A226="","",Journal_Import!Z226)</x:f>
      </x:c>
    </x:row>
    <x:row r="227">
      <x:c r="A227" s="18">
        <x:f>IF(Journal_Import!A227="","",Journal_Import!A227)</x:f>
      </x:c>
      <x:c r="B227" s="18">
        <x:f>IF(A227="","",Journal_Import!B227)</x:f>
      </x:c>
      <x:c r="C227" s="18">
        <x:f>IF(A227="","",Journal_Import!I227)</x:f>
      </x:c>
      <x:c r="D227" s="18">
        <x:f>IF(A227="","",Journal_Import!J227)</x:f>
      </x:c>
      <x:c r="E227" s="19">
        <x:f>IF(A227="","",Journal_Import!D227)</x:f>
      </x:c>
      <x:c r="F227" s="19">
        <x:f>IF(A227="","",Journal_Import!F227)</x:f>
      </x:c>
      <x:c r="G227" s="19">
        <x:f>IF(A227="","",Journal_Import!G227)</x:f>
      </x:c>
      <x:c r="H227" s="19">
        <x:f>IF(A227="","",Journal_Import!H227)</x:f>
      </x:c>
      <x:c r="I227" s="12">
        <x:f>IF(A227="","",Journal_Import!S227)</x:f>
      </x:c>
      <x:c r="J227" s="12">
        <x:f>IF(A227="","",Journal_Import!T227)</x:f>
      </x:c>
      <x:c r="K227" s="12">
        <x:f>IF(C227="","",IF(C227=C226,K226+I227-J227,IFERROR(INDEX(COA_Master!$N:$N,MATCH(C227,COA_Master!$A:$A,0)),0)+I227-J227))</x:f>
      </x:c>
      <x:c r="L227" s="19">
        <x:f>IF(A227="","",IF(IFERROR(INDEX(COA_Master!$G:$G,MATCH(C227,COA_Master!$A:$A,0)),"Debit")="Debit",IF(K227&gt;=0,"Debit","Credit"),IF(K227&gt;=0,"Credit","Debit")))</x:f>
      </x:c>
      <x:c r="M227" s="19">
        <x:f>IF(A227="","",Journal_Import!V227)</x:f>
      </x:c>
      <x:c r="N227" s="19">
        <x:f>IF(A227="","",Journal_Import!W227)</x:f>
      </x:c>
      <x:c r="O227" s="19">
        <x:f>IF(A227="","",Journal_Import!Z227)</x:f>
      </x:c>
    </x:row>
    <x:row r="228">
      <x:c r="A228" s="18">
        <x:f>IF(Journal_Import!A228="","",Journal_Import!A228)</x:f>
      </x:c>
      <x:c r="B228" s="18">
        <x:f>IF(A228="","",Journal_Import!B228)</x:f>
      </x:c>
      <x:c r="C228" s="18">
        <x:f>IF(A228="","",Journal_Import!I228)</x:f>
      </x:c>
      <x:c r="D228" s="18">
        <x:f>IF(A228="","",Journal_Import!J228)</x:f>
      </x:c>
      <x:c r="E228" s="19">
        <x:f>IF(A228="","",Journal_Import!D228)</x:f>
      </x:c>
      <x:c r="F228" s="19">
        <x:f>IF(A228="","",Journal_Import!F228)</x:f>
      </x:c>
      <x:c r="G228" s="19">
        <x:f>IF(A228="","",Journal_Import!G228)</x:f>
      </x:c>
      <x:c r="H228" s="19">
        <x:f>IF(A228="","",Journal_Import!H228)</x:f>
      </x:c>
      <x:c r="I228" s="12">
        <x:f>IF(A228="","",Journal_Import!S228)</x:f>
      </x:c>
      <x:c r="J228" s="12">
        <x:f>IF(A228="","",Journal_Import!T228)</x:f>
      </x:c>
      <x:c r="K228" s="12">
        <x:f>IF(C228="","",IF(C228=C227,K227+I228-J228,IFERROR(INDEX(COA_Master!$N:$N,MATCH(C228,COA_Master!$A:$A,0)),0)+I228-J228))</x:f>
      </x:c>
      <x:c r="L228" s="19">
        <x:f>IF(A228="","",IF(IFERROR(INDEX(COA_Master!$G:$G,MATCH(C228,COA_Master!$A:$A,0)),"Debit")="Debit",IF(K228&gt;=0,"Debit","Credit"),IF(K228&gt;=0,"Credit","Debit")))</x:f>
      </x:c>
      <x:c r="M228" s="19">
        <x:f>IF(A228="","",Journal_Import!V228)</x:f>
      </x:c>
      <x:c r="N228" s="19">
        <x:f>IF(A228="","",Journal_Import!W228)</x:f>
      </x:c>
      <x:c r="O228" s="19">
        <x:f>IF(A228="","",Journal_Import!Z228)</x:f>
      </x:c>
    </x:row>
    <x:row r="229">
      <x:c r="A229" s="18">
        <x:f>IF(Journal_Import!A229="","",Journal_Import!A229)</x:f>
      </x:c>
      <x:c r="B229" s="18">
        <x:f>IF(A229="","",Journal_Import!B229)</x:f>
      </x:c>
      <x:c r="C229" s="18">
        <x:f>IF(A229="","",Journal_Import!I229)</x:f>
      </x:c>
      <x:c r="D229" s="18">
        <x:f>IF(A229="","",Journal_Import!J229)</x:f>
      </x:c>
      <x:c r="E229" s="19">
        <x:f>IF(A229="","",Journal_Import!D229)</x:f>
      </x:c>
      <x:c r="F229" s="19">
        <x:f>IF(A229="","",Journal_Import!F229)</x:f>
      </x:c>
      <x:c r="G229" s="19">
        <x:f>IF(A229="","",Journal_Import!G229)</x:f>
      </x:c>
      <x:c r="H229" s="19">
        <x:f>IF(A229="","",Journal_Import!H229)</x:f>
      </x:c>
      <x:c r="I229" s="12">
        <x:f>IF(A229="","",Journal_Import!S229)</x:f>
      </x:c>
      <x:c r="J229" s="12">
        <x:f>IF(A229="","",Journal_Import!T229)</x:f>
      </x:c>
      <x:c r="K229" s="12">
        <x:f>IF(C229="","",IF(C229=C228,K228+I229-J229,IFERROR(INDEX(COA_Master!$N:$N,MATCH(C229,COA_Master!$A:$A,0)),0)+I229-J229))</x:f>
      </x:c>
      <x:c r="L229" s="19">
        <x:f>IF(A229="","",IF(IFERROR(INDEX(COA_Master!$G:$G,MATCH(C229,COA_Master!$A:$A,0)),"Debit")="Debit",IF(K229&gt;=0,"Debit","Credit"),IF(K229&gt;=0,"Credit","Debit")))</x:f>
      </x:c>
      <x:c r="M229" s="19">
        <x:f>IF(A229="","",Journal_Import!V229)</x:f>
      </x:c>
      <x:c r="N229" s="19">
        <x:f>IF(A229="","",Journal_Import!W229)</x:f>
      </x:c>
      <x:c r="O229" s="19">
        <x:f>IF(A229="","",Journal_Import!Z229)</x:f>
      </x:c>
    </x:row>
    <x:row r="230">
      <x:c r="A230" s="18">
        <x:f>IF(Journal_Import!A230="","",Journal_Import!A230)</x:f>
      </x:c>
      <x:c r="B230" s="18">
        <x:f>IF(A230="","",Journal_Import!B230)</x:f>
      </x:c>
      <x:c r="C230" s="18">
        <x:f>IF(A230="","",Journal_Import!I230)</x:f>
      </x:c>
      <x:c r="D230" s="18">
        <x:f>IF(A230="","",Journal_Import!J230)</x:f>
      </x:c>
      <x:c r="E230" s="19">
        <x:f>IF(A230="","",Journal_Import!D230)</x:f>
      </x:c>
      <x:c r="F230" s="19">
        <x:f>IF(A230="","",Journal_Import!F230)</x:f>
      </x:c>
      <x:c r="G230" s="19">
        <x:f>IF(A230="","",Journal_Import!G230)</x:f>
      </x:c>
      <x:c r="H230" s="19">
        <x:f>IF(A230="","",Journal_Import!H230)</x:f>
      </x:c>
      <x:c r="I230" s="12">
        <x:f>IF(A230="","",Journal_Import!S230)</x:f>
      </x:c>
      <x:c r="J230" s="12">
        <x:f>IF(A230="","",Journal_Import!T230)</x:f>
      </x:c>
      <x:c r="K230" s="12">
        <x:f>IF(C230="","",IF(C230=C229,K229+I230-J230,IFERROR(INDEX(COA_Master!$N:$N,MATCH(C230,COA_Master!$A:$A,0)),0)+I230-J230))</x:f>
      </x:c>
      <x:c r="L230" s="19">
        <x:f>IF(A230="","",IF(IFERROR(INDEX(COA_Master!$G:$G,MATCH(C230,COA_Master!$A:$A,0)),"Debit")="Debit",IF(K230&gt;=0,"Debit","Credit"),IF(K230&gt;=0,"Credit","Debit")))</x:f>
      </x:c>
      <x:c r="M230" s="19">
        <x:f>IF(A230="","",Journal_Import!V230)</x:f>
      </x:c>
      <x:c r="N230" s="19">
        <x:f>IF(A230="","",Journal_Import!W230)</x:f>
      </x:c>
      <x:c r="O230" s="19">
        <x:f>IF(A230="","",Journal_Import!Z230)</x:f>
      </x:c>
    </x:row>
    <x:row r="231">
      <x:c r="A231" s="18">
        <x:f>IF(Journal_Import!A231="","",Journal_Import!A231)</x:f>
      </x:c>
      <x:c r="B231" s="18">
        <x:f>IF(A231="","",Journal_Import!B231)</x:f>
      </x:c>
      <x:c r="C231" s="18">
        <x:f>IF(A231="","",Journal_Import!I231)</x:f>
      </x:c>
      <x:c r="D231" s="18">
        <x:f>IF(A231="","",Journal_Import!J231)</x:f>
      </x:c>
      <x:c r="E231" s="19">
        <x:f>IF(A231="","",Journal_Import!D231)</x:f>
      </x:c>
      <x:c r="F231" s="19">
        <x:f>IF(A231="","",Journal_Import!F231)</x:f>
      </x:c>
      <x:c r="G231" s="19">
        <x:f>IF(A231="","",Journal_Import!G231)</x:f>
      </x:c>
      <x:c r="H231" s="19">
        <x:f>IF(A231="","",Journal_Import!H231)</x:f>
      </x:c>
      <x:c r="I231" s="12">
        <x:f>IF(A231="","",Journal_Import!S231)</x:f>
      </x:c>
      <x:c r="J231" s="12">
        <x:f>IF(A231="","",Journal_Import!T231)</x:f>
      </x:c>
      <x:c r="K231" s="12">
        <x:f>IF(C231="","",IF(C231=C230,K230+I231-J231,IFERROR(INDEX(COA_Master!$N:$N,MATCH(C231,COA_Master!$A:$A,0)),0)+I231-J231))</x:f>
      </x:c>
      <x:c r="L231" s="19">
        <x:f>IF(A231="","",IF(IFERROR(INDEX(COA_Master!$G:$G,MATCH(C231,COA_Master!$A:$A,0)),"Debit")="Debit",IF(K231&gt;=0,"Debit","Credit"),IF(K231&gt;=0,"Credit","Debit")))</x:f>
      </x:c>
      <x:c r="M231" s="19">
        <x:f>IF(A231="","",Journal_Import!V231)</x:f>
      </x:c>
      <x:c r="N231" s="19">
        <x:f>IF(A231="","",Journal_Import!W231)</x:f>
      </x:c>
      <x:c r="O231" s="19">
        <x:f>IF(A231="","",Journal_Import!Z231)</x:f>
      </x:c>
    </x:row>
    <x:row r="232">
      <x:c r="A232" s="18">
        <x:f>IF(Journal_Import!A232="","",Journal_Import!A232)</x:f>
      </x:c>
      <x:c r="B232" s="18">
        <x:f>IF(A232="","",Journal_Import!B232)</x:f>
      </x:c>
      <x:c r="C232" s="18">
        <x:f>IF(A232="","",Journal_Import!I232)</x:f>
      </x:c>
      <x:c r="D232" s="18">
        <x:f>IF(A232="","",Journal_Import!J232)</x:f>
      </x:c>
      <x:c r="E232" s="19">
        <x:f>IF(A232="","",Journal_Import!D232)</x:f>
      </x:c>
      <x:c r="F232" s="19">
        <x:f>IF(A232="","",Journal_Import!F232)</x:f>
      </x:c>
      <x:c r="G232" s="19">
        <x:f>IF(A232="","",Journal_Import!G232)</x:f>
      </x:c>
      <x:c r="H232" s="19">
        <x:f>IF(A232="","",Journal_Import!H232)</x:f>
      </x:c>
      <x:c r="I232" s="12">
        <x:f>IF(A232="","",Journal_Import!S232)</x:f>
      </x:c>
      <x:c r="J232" s="12">
        <x:f>IF(A232="","",Journal_Import!T232)</x:f>
      </x:c>
      <x:c r="K232" s="12">
        <x:f>IF(C232="","",IF(C232=C231,K231+I232-J232,IFERROR(INDEX(COA_Master!$N:$N,MATCH(C232,COA_Master!$A:$A,0)),0)+I232-J232))</x:f>
      </x:c>
      <x:c r="L232" s="19">
        <x:f>IF(A232="","",IF(IFERROR(INDEX(COA_Master!$G:$G,MATCH(C232,COA_Master!$A:$A,0)),"Debit")="Debit",IF(K232&gt;=0,"Debit","Credit"),IF(K232&gt;=0,"Credit","Debit")))</x:f>
      </x:c>
      <x:c r="M232" s="19">
        <x:f>IF(A232="","",Journal_Import!V232)</x:f>
      </x:c>
      <x:c r="N232" s="19">
        <x:f>IF(A232="","",Journal_Import!W232)</x:f>
      </x:c>
      <x:c r="O232" s="19">
        <x:f>IF(A232="","",Journal_Import!Z232)</x:f>
      </x:c>
    </x:row>
    <x:row r="233">
      <x:c r="A233" s="18">
        <x:f>IF(Journal_Import!A233="","",Journal_Import!A233)</x:f>
      </x:c>
      <x:c r="B233" s="18">
        <x:f>IF(A233="","",Journal_Import!B233)</x:f>
      </x:c>
      <x:c r="C233" s="18">
        <x:f>IF(A233="","",Journal_Import!I233)</x:f>
      </x:c>
      <x:c r="D233" s="18">
        <x:f>IF(A233="","",Journal_Import!J233)</x:f>
      </x:c>
      <x:c r="E233" s="19">
        <x:f>IF(A233="","",Journal_Import!D233)</x:f>
      </x:c>
      <x:c r="F233" s="19">
        <x:f>IF(A233="","",Journal_Import!F233)</x:f>
      </x:c>
      <x:c r="G233" s="19">
        <x:f>IF(A233="","",Journal_Import!G233)</x:f>
      </x:c>
      <x:c r="H233" s="19">
        <x:f>IF(A233="","",Journal_Import!H233)</x:f>
      </x:c>
      <x:c r="I233" s="12">
        <x:f>IF(A233="","",Journal_Import!S233)</x:f>
      </x:c>
      <x:c r="J233" s="12">
        <x:f>IF(A233="","",Journal_Import!T233)</x:f>
      </x:c>
      <x:c r="K233" s="12">
        <x:f>IF(C233="","",IF(C233=C232,K232+I233-J233,IFERROR(INDEX(COA_Master!$N:$N,MATCH(C233,COA_Master!$A:$A,0)),0)+I233-J233))</x:f>
      </x:c>
      <x:c r="L233" s="19">
        <x:f>IF(A233="","",IF(IFERROR(INDEX(COA_Master!$G:$G,MATCH(C233,COA_Master!$A:$A,0)),"Debit")="Debit",IF(K233&gt;=0,"Debit","Credit"),IF(K233&gt;=0,"Credit","Debit")))</x:f>
      </x:c>
      <x:c r="M233" s="19">
        <x:f>IF(A233="","",Journal_Import!V233)</x:f>
      </x:c>
      <x:c r="N233" s="19">
        <x:f>IF(A233="","",Journal_Import!W233)</x:f>
      </x:c>
      <x:c r="O233" s="19">
        <x:f>IF(A233="","",Journal_Import!Z233)</x:f>
      </x:c>
    </x:row>
    <x:row r="234">
      <x:c r="A234" s="18">
        <x:f>IF(Journal_Import!A234="","",Journal_Import!A234)</x:f>
      </x:c>
      <x:c r="B234" s="18">
        <x:f>IF(A234="","",Journal_Import!B234)</x:f>
      </x:c>
      <x:c r="C234" s="18">
        <x:f>IF(A234="","",Journal_Import!I234)</x:f>
      </x:c>
      <x:c r="D234" s="18">
        <x:f>IF(A234="","",Journal_Import!J234)</x:f>
      </x:c>
      <x:c r="E234" s="19">
        <x:f>IF(A234="","",Journal_Import!D234)</x:f>
      </x:c>
      <x:c r="F234" s="19">
        <x:f>IF(A234="","",Journal_Import!F234)</x:f>
      </x:c>
      <x:c r="G234" s="19">
        <x:f>IF(A234="","",Journal_Import!G234)</x:f>
      </x:c>
      <x:c r="H234" s="19">
        <x:f>IF(A234="","",Journal_Import!H234)</x:f>
      </x:c>
      <x:c r="I234" s="12">
        <x:f>IF(A234="","",Journal_Import!S234)</x:f>
      </x:c>
      <x:c r="J234" s="12">
        <x:f>IF(A234="","",Journal_Import!T234)</x:f>
      </x:c>
      <x:c r="K234" s="12">
        <x:f>IF(C234="","",IF(C234=C233,K233+I234-J234,IFERROR(INDEX(COA_Master!$N:$N,MATCH(C234,COA_Master!$A:$A,0)),0)+I234-J234))</x:f>
      </x:c>
      <x:c r="L234" s="19">
        <x:f>IF(A234="","",IF(IFERROR(INDEX(COA_Master!$G:$G,MATCH(C234,COA_Master!$A:$A,0)),"Debit")="Debit",IF(K234&gt;=0,"Debit","Credit"),IF(K234&gt;=0,"Credit","Debit")))</x:f>
      </x:c>
      <x:c r="M234" s="19">
        <x:f>IF(A234="","",Journal_Import!V234)</x:f>
      </x:c>
      <x:c r="N234" s="19">
        <x:f>IF(A234="","",Journal_Import!W234)</x:f>
      </x:c>
      <x:c r="O234" s="19">
        <x:f>IF(A234="","",Journal_Import!Z234)</x:f>
      </x:c>
    </x:row>
    <x:row r="235">
      <x:c r="A235" s="18">
        <x:f>IF(Journal_Import!A235="","",Journal_Import!A235)</x:f>
      </x:c>
      <x:c r="B235" s="18">
        <x:f>IF(A235="","",Journal_Import!B235)</x:f>
      </x:c>
      <x:c r="C235" s="18">
        <x:f>IF(A235="","",Journal_Import!I235)</x:f>
      </x:c>
      <x:c r="D235" s="18">
        <x:f>IF(A235="","",Journal_Import!J235)</x:f>
      </x:c>
      <x:c r="E235" s="19">
        <x:f>IF(A235="","",Journal_Import!D235)</x:f>
      </x:c>
      <x:c r="F235" s="19">
        <x:f>IF(A235="","",Journal_Import!F235)</x:f>
      </x:c>
      <x:c r="G235" s="19">
        <x:f>IF(A235="","",Journal_Import!G235)</x:f>
      </x:c>
      <x:c r="H235" s="19">
        <x:f>IF(A235="","",Journal_Import!H235)</x:f>
      </x:c>
      <x:c r="I235" s="12">
        <x:f>IF(A235="","",Journal_Import!S235)</x:f>
      </x:c>
      <x:c r="J235" s="12">
        <x:f>IF(A235="","",Journal_Import!T235)</x:f>
      </x:c>
      <x:c r="K235" s="12">
        <x:f>IF(C235="","",IF(C235=C234,K234+I235-J235,IFERROR(INDEX(COA_Master!$N:$N,MATCH(C235,COA_Master!$A:$A,0)),0)+I235-J235))</x:f>
      </x:c>
      <x:c r="L235" s="19">
        <x:f>IF(A235="","",IF(IFERROR(INDEX(COA_Master!$G:$G,MATCH(C235,COA_Master!$A:$A,0)),"Debit")="Debit",IF(K235&gt;=0,"Debit","Credit"),IF(K235&gt;=0,"Credit","Debit")))</x:f>
      </x:c>
      <x:c r="M235" s="19">
        <x:f>IF(A235="","",Journal_Import!V235)</x:f>
      </x:c>
      <x:c r="N235" s="19">
        <x:f>IF(A235="","",Journal_Import!W235)</x:f>
      </x:c>
      <x:c r="O235" s="19">
        <x:f>IF(A235="","",Journal_Import!Z235)</x:f>
      </x:c>
    </x:row>
    <x:row r="236">
      <x:c r="A236" s="18">
        <x:f>IF(Journal_Import!A236="","",Journal_Import!A236)</x:f>
      </x:c>
      <x:c r="B236" s="18">
        <x:f>IF(A236="","",Journal_Import!B236)</x:f>
      </x:c>
      <x:c r="C236" s="18">
        <x:f>IF(A236="","",Journal_Import!I236)</x:f>
      </x:c>
      <x:c r="D236" s="18">
        <x:f>IF(A236="","",Journal_Import!J236)</x:f>
      </x:c>
      <x:c r="E236" s="19">
        <x:f>IF(A236="","",Journal_Import!D236)</x:f>
      </x:c>
      <x:c r="F236" s="19">
        <x:f>IF(A236="","",Journal_Import!F236)</x:f>
      </x:c>
      <x:c r="G236" s="19">
        <x:f>IF(A236="","",Journal_Import!G236)</x:f>
      </x:c>
      <x:c r="H236" s="19">
        <x:f>IF(A236="","",Journal_Import!H236)</x:f>
      </x:c>
      <x:c r="I236" s="12">
        <x:f>IF(A236="","",Journal_Import!S236)</x:f>
      </x:c>
      <x:c r="J236" s="12">
        <x:f>IF(A236="","",Journal_Import!T236)</x:f>
      </x:c>
      <x:c r="K236" s="12">
        <x:f>IF(C236="","",IF(C236=C235,K235+I236-J236,IFERROR(INDEX(COA_Master!$N:$N,MATCH(C236,COA_Master!$A:$A,0)),0)+I236-J236))</x:f>
      </x:c>
      <x:c r="L236" s="19">
        <x:f>IF(A236="","",IF(IFERROR(INDEX(COA_Master!$G:$G,MATCH(C236,COA_Master!$A:$A,0)),"Debit")="Debit",IF(K236&gt;=0,"Debit","Credit"),IF(K236&gt;=0,"Credit","Debit")))</x:f>
      </x:c>
      <x:c r="M236" s="19">
        <x:f>IF(A236="","",Journal_Import!V236)</x:f>
      </x:c>
      <x:c r="N236" s="19">
        <x:f>IF(A236="","",Journal_Import!W236)</x:f>
      </x:c>
      <x:c r="O236" s="19">
        <x:f>IF(A236="","",Journal_Import!Z236)</x:f>
      </x:c>
    </x:row>
    <x:row r="237">
      <x:c r="A237" s="18">
        <x:f>IF(Journal_Import!A237="","",Journal_Import!A237)</x:f>
      </x:c>
      <x:c r="B237" s="18">
        <x:f>IF(A237="","",Journal_Import!B237)</x:f>
      </x:c>
      <x:c r="C237" s="18">
        <x:f>IF(A237="","",Journal_Import!I237)</x:f>
      </x:c>
      <x:c r="D237" s="18">
        <x:f>IF(A237="","",Journal_Import!J237)</x:f>
      </x:c>
      <x:c r="E237" s="19">
        <x:f>IF(A237="","",Journal_Import!D237)</x:f>
      </x:c>
      <x:c r="F237" s="19">
        <x:f>IF(A237="","",Journal_Import!F237)</x:f>
      </x:c>
      <x:c r="G237" s="19">
        <x:f>IF(A237="","",Journal_Import!G237)</x:f>
      </x:c>
      <x:c r="H237" s="19">
        <x:f>IF(A237="","",Journal_Import!H237)</x:f>
      </x:c>
      <x:c r="I237" s="12">
        <x:f>IF(A237="","",Journal_Import!S237)</x:f>
      </x:c>
      <x:c r="J237" s="12">
        <x:f>IF(A237="","",Journal_Import!T237)</x:f>
      </x:c>
      <x:c r="K237" s="12">
        <x:f>IF(C237="","",IF(C237=C236,K236+I237-J237,IFERROR(INDEX(COA_Master!$N:$N,MATCH(C237,COA_Master!$A:$A,0)),0)+I237-J237))</x:f>
      </x:c>
      <x:c r="L237" s="19">
        <x:f>IF(A237="","",IF(IFERROR(INDEX(COA_Master!$G:$G,MATCH(C237,COA_Master!$A:$A,0)),"Debit")="Debit",IF(K237&gt;=0,"Debit","Credit"),IF(K237&gt;=0,"Credit","Debit")))</x:f>
      </x:c>
      <x:c r="M237" s="19">
        <x:f>IF(A237="","",Journal_Import!V237)</x:f>
      </x:c>
      <x:c r="N237" s="19">
        <x:f>IF(A237="","",Journal_Import!W237)</x:f>
      </x:c>
      <x:c r="O237" s="19">
        <x:f>IF(A237="","",Journal_Import!Z237)</x:f>
      </x:c>
    </x:row>
    <x:row r="238">
      <x:c r="A238" s="18">
        <x:f>IF(Journal_Import!A238="","",Journal_Import!A238)</x:f>
      </x:c>
      <x:c r="B238" s="18">
        <x:f>IF(A238="","",Journal_Import!B238)</x:f>
      </x:c>
      <x:c r="C238" s="18">
        <x:f>IF(A238="","",Journal_Import!I238)</x:f>
      </x:c>
      <x:c r="D238" s="18">
        <x:f>IF(A238="","",Journal_Import!J238)</x:f>
      </x:c>
      <x:c r="E238" s="19">
        <x:f>IF(A238="","",Journal_Import!D238)</x:f>
      </x:c>
      <x:c r="F238" s="19">
        <x:f>IF(A238="","",Journal_Import!F238)</x:f>
      </x:c>
      <x:c r="G238" s="19">
        <x:f>IF(A238="","",Journal_Import!G238)</x:f>
      </x:c>
      <x:c r="H238" s="19">
        <x:f>IF(A238="","",Journal_Import!H238)</x:f>
      </x:c>
      <x:c r="I238" s="12">
        <x:f>IF(A238="","",Journal_Import!S238)</x:f>
      </x:c>
      <x:c r="J238" s="12">
        <x:f>IF(A238="","",Journal_Import!T238)</x:f>
      </x:c>
      <x:c r="K238" s="12">
        <x:f>IF(C238="","",IF(C238=C237,K237+I238-J238,IFERROR(INDEX(COA_Master!$N:$N,MATCH(C238,COA_Master!$A:$A,0)),0)+I238-J238))</x:f>
      </x:c>
      <x:c r="L238" s="19">
        <x:f>IF(A238="","",IF(IFERROR(INDEX(COA_Master!$G:$G,MATCH(C238,COA_Master!$A:$A,0)),"Debit")="Debit",IF(K238&gt;=0,"Debit","Credit"),IF(K238&gt;=0,"Credit","Debit")))</x:f>
      </x:c>
      <x:c r="M238" s="19">
        <x:f>IF(A238="","",Journal_Import!V238)</x:f>
      </x:c>
      <x:c r="N238" s="19">
        <x:f>IF(A238="","",Journal_Import!W238)</x:f>
      </x:c>
      <x:c r="O238" s="19">
        <x:f>IF(A238="","",Journal_Import!Z238)</x:f>
      </x:c>
    </x:row>
    <x:row r="239">
      <x:c r="A239" s="18">
        <x:f>IF(Journal_Import!A239="","",Journal_Import!A239)</x:f>
      </x:c>
      <x:c r="B239" s="18">
        <x:f>IF(A239="","",Journal_Import!B239)</x:f>
      </x:c>
      <x:c r="C239" s="18">
        <x:f>IF(A239="","",Journal_Import!I239)</x:f>
      </x:c>
      <x:c r="D239" s="18">
        <x:f>IF(A239="","",Journal_Import!J239)</x:f>
      </x:c>
      <x:c r="E239" s="19">
        <x:f>IF(A239="","",Journal_Import!D239)</x:f>
      </x:c>
      <x:c r="F239" s="19">
        <x:f>IF(A239="","",Journal_Import!F239)</x:f>
      </x:c>
      <x:c r="G239" s="19">
        <x:f>IF(A239="","",Journal_Import!G239)</x:f>
      </x:c>
      <x:c r="H239" s="19">
        <x:f>IF(A239="","",Journal_Import!H239)</x:f>
      </x:c>
      <x:c r="I239" s="12">
        <x:f>IF(A239="","",Journal_Import!S239)</x:f>
      </x:c>
      <x:c r="J239" s="12">
        <x:f>IF(A239="","",Journal_Import!T239)</x:f>
      </x:c>
      <x:c r="K239" s="12">
        <x:f>IF(C239="","",IF(C239=C238,K238+I239-J239,IFERROR(INDEX(COA_Master!$N:$N,MATCH(C239,COA_Master!$A:$A,0)),0)+I239-J239))</x:f>
      </x:c>
      <x:c r="L239" s="19">
        <x:f>IF(A239="","",IF(IFERROR(INDEX(COA_Master!$G:$G,MATCH(C239,COA_Master!$A:$A,0)),"Debit")="Debit",IF(K239&gt;=0,"Debit","Credit"),IF(K239&gt;=0,"Credit","Debit")))</x:f>
      </x:c>
      <x:c r="M239" s="19">
        <x:f>IF(A239="","",Journal_Import!V239)</x:f>
      </x:c>
      <x:c r="N239" s="19">
        <x:f>IF(A239="","",Journal_Import!W239)</x:f>
      </x:c>
      <x:c r="O239" s="19">
        <x:f>IF(A239="","",Journal_Import!Z239)</x:f>
      </x:c>
    </x:row>
    <x:row r="240">
      <x:c r="A240" s="18">
        <x:f>IF(Journal_Import!A240="","",Journal_Import!A240)</x:f>
      </x:c>
      <x:c r="B240" s="18">
        <x:f>IF(A240="","",Journal_Import!B240)</x:f>
      </x:c>
      <x:c r="C240" s="18">
        <x:f>IF(A240="","",Journal_Import!I240)</x:f>
      </x:c>
      <x:c r="D240" s="18">
        <x:f>IF(A240="","",Journal_Import!J240)</x:f>
      </x:c>
      <x:c r="E240" s="19">
        <x:f>IF(A240="","",Journal_Import!D240)</x:f>
      </x:c>
      <x:c r="F240" s="19">
        <x:f>IF(A240="","",Journal_Import!F240)</x:f>
      </x:c>
      <x:c r="G240" s="19">
        <x:f>IF(A240="","",Journal_Import!G240)</x:f>
      </x:c>
      <x:c r="H240" s="19">
        <x:f>IF(A240="","",Journal_Import!H240)</x:f>
      </x:c>
      <x:c r="I240" s="12">
        <x:f>IF(A240="","",Journal_Import!S240)</x:f>
      </x:c>
      <x:c r="J240" s="12">
        <x:f>IF(A240="","",Journal_Import!T240)</x:f>
      </x:c>
      <x:c r="K240" s="12">
        <x:f>IF(C240="","",IF(C240=C239,K239+I240-J240,IFERROR(INDEX(COA_Master!$N:$N,MATCH(C240,COA_Master!$A:$A,0)),0)+I240-J240))</x:f>
      </x:c>
      <x:c r="L240" s="19">
        <x:f>IF(A240="","",IF(IFERROR(INDEX(COA_Master!$G:$G,MATCH(C240,COA_Master!$A:$A,0)),"Debit")="Debit",IF(K240&gt;=0,"Debit","Credit"),IF(K240&gt;=0,"Credit","Debit")))</x:f>
      </x:c>
      <x:c r="M240" s="19">
        <x:f>IF(A240="","",Journal_Import!V240)</x:f>
      </x:c>
      <x:c r="N240" s="19">
        <x:f>IF(A240="","",Journal_Import!W240)</x:f>
      </x:c>
      <x:c r="O240" s="19">
        <x:f>IF(A240="","",Journal_Import!Z240)</x:f>
      </x:c>
    </x:row>
    <x:row r="241">
      <x:c r="A241" s="18">
        <x:f>IF(Journal_Import!A241="","",Journal_Import!A241)</x:f>
      </x:c>
      <x:c r="B241" s="18">
        <x:f>IF(A241="","",Journal_Import!B241)</x:f>
      </x:c>
      <x:c r="C241" s="18">
        <x:f>IF(A241="","",Journal_Import!I241)</x:f>
      </x:c>
      <x:c r="D241" s="18">
        <x:f>IF(A241="","",Journal_Import!J241)</x:f>
      </x:c>
      <x:c r="E241" s="19">
        <x:f>IF(A241="","",Journal_Import!D241)</x:f>
      </x:c>
      <x:c r="F241" s="19">
        <x:f>IF(A241="","",Journal_Import!F241)</x:f>
      </x:c>
      <x:c r="G241" s="19">
        <x:f>IF(A241="","",Journal_Import!G241)</x:f>
      </x:c>
      <x:c r="H241" s="19">
        <x:f>IF(A241="","",Journal_Import!H241)</x:f>
      </x:c>
      <x:c r="I241" s="12">
        <x:f>IF(A241="","",Journal_Import!S241)</x:f>
      </x:c>
      <x:c r="J241" s="12">
        <x:f>IF(A241="","",Journal_Import!T241)</x:f>
      </x:c>
      <x:c r="K241" s="12">
        <x:f>IF(C241="","",IF(C241=C240,K240+I241-J241,IFERROR(INDEX(COA_Master!$N:$N,MATCH(C241,COA_Master!$A:$A,0)),0)+I241-J241))</x:f>
      </x:c>
      <x:c r="L241" s="19">
        <x:f>IF(A241="","",IF(IFERROR(INDEX(COA_Master!$G:$G,MATCH(C241,COA_Master!$A:$A,0)),"Debit")="Debit",IF(K241&gt;=0,"Debit","Credit"),IF(K241&gt;=0,"Credit","Debit")))</x:f>
      </x:c>
      <x:c r="M241" s="19">
        <x:f>IF(A241="","",Journal_Import!V241)</x:f>
      </x:c>
      <x:c r="N241" s="19">
        <x:f>IF(A241="","",Journal_Import!W241)</x:f>
      </x:c>
      <x:c r="O241" s="19">
        <x:f>IF(A241="","",Journal_Import!Z241)</x:f>
      </x:c>
    </x:row>
    <x:row r="242">
      <x:c r="A242" s="18">
        <x:f>IF(Journal_Import!A242="","",Journal_Import!A242)</x:f>
      </x:c>
      <x:c r="B242" s="18">
        <x:f>IF(A242="","",Journal_Import!B242)</x:f>
      </x:c>
      <x:c r="C242" s="18">
        <x:f>IF(A242="","",Journal_Import!I242)</x:f>
      </x:c>
      <x:c r="D242" s="18">
        <x:f>IF(A242="","",Journal_Import!J242)</x:f>
      </x:c>
      <x:c r="E242" s="19">
        <x:f>IF(A242="","",Journal_Import!D242)</x:f>
      </x:c>
      <x:c r="F242" s="19">
        <x:f>IF(A242="","",Journal_Import!F242)</x:f>
      </x:c>
      <x:c r="G242" s="19">
        <x:f>IF(A242="","",Journal_Import!G242)</x:f>
      </x:c>
      <x:c r="H242" s="19">
        <x:f>IF(A242="","",Journal_Import!H242)</x:f>
      </x:c>
      <x:c r="I242" s="12">
        <x:f>IF(A242="","",Journal_Import!S242)</x:f>
      </x:c>
      <x:c r="J242" s="12">
        <x:f>IF(A242="","",Journal_Import!T242)</x:f>
      </x:c>
      <x:c r="K242" s="12">
        <x:f>IF(C242="","",IF(C242=C241,K241+I242-J242,IFERROR(INDEX(COA_Master!$N:$N,MATCH(C242,COA_Master!$A:$A,0)),0)+I242-J242))</x:f>
      </x:c>
      <x:c r="L242" s="19">
        <x:f>IF(A242="","",IF(IFERROR(INDEX(COA_Master!$G:$G,MATCH(C242,COA_Master!$A:$A,0)),"Debit")="Debit",IF(K242&gt;=0,"Debit","Credit"),IF(K242&gt;=0,"Credit","Debit")))</x:f>
      </x:c>
      <x:c r="M242" s="19">
        <x:f>IF(A242="","",Journal_Import!V242)</x:f>
      </x:c>
      <x:c r="N242" s="19">
        <x:f>IF(A242="","",Journal_Import!W242)</x:f>
      </x:c>
      <x:c r="O242" s="19">
        <x:f>IF(A242="","",Journal_Import!Z242)</x:f>
      </x:c>
    </x:row>
    <x:row r="243">
      <x:c r="A243" s="18">
        <x:f>IF(Journal_Import!A243="","",Journal_Import!A243)</x:f>
      </x:c>
      <x:c r="B243" s="18">
        <x:f>IF(A243="","",Journal_Import!B243)</x:f>
      </x:c>
      <x:c r="C243" s="18">
        <x:f>IF(A243="","",Journal_Import!I243)</x:f>
      </x:c>
      <x:c r="D243" s="18">
        <x:f>IF(A243="","",Journal_Import!J243)</x:f>
      </x:c>
      <x:c r="E243" s="19">
        <x:f>IF(A243="","",Journal_Import!D243)</x:f>
      </x:c>
      <x:c r="F243" s="19">
        <x:f>IF(A243="","",Journal_Import!F243)</x:f>
      </x:c>
      <x:c r="G243" s="19">
        <x:f>IF(A243="","",Journal_Import!G243)</x:f>
      </x:c>
      <x:c r="H243" s="19">
        <x:f>IF(A243="","",Journal_Import!H243)</x:f>
      </x:c>
      <x:c r="I243" s="12">
        <x:f>IF(A243="","",Journal_Import!S243)</x:f>
      </x:c>
      <x:c r="J243" s="12">
        <x:f>IF(A243="","",Journal_Import!T243)</x:f>
      </x:c>
      <x:c r="K243" s="12">
        <x:f>IF(C243="","",IF(C243=C242,K242+I243-J243,IFERROR(INDEX(COA_Master!$N:$N,MATCH(C243,COA_Master!$A:$A,0)),0)+I243-J243))</x:f>
      </x:c>
      <x:c r="L243" s="19">
        <x:f>IF(A243="","",IF(IFERROR(INDEX(COA_Master!$G:$G,MATCH(C243,COA_Master!$A:$A,0)),"Debit")="Debit",IF(K243&gt;=0,"Debit","Credit"),IF(K243&gt;=0,"Credit","Debit")))</x:f>
      </x:c>
      <x:c r="M243" s="19">
        <x:f>IF(A243="","",Journal_Import!V243)</x:f>
      </x:c>
      <x:c r="N243" s="19">
        <x:f>IF(A243="","",Journal_Import!W243)</x:f>
      </x:c>
      <x:c r="O243" s="19">
        <x:f>IF(A243="","",Journal_Import!Z243)</x:f>
      </x:c>
    </x:row>
    <x:row r="244">
      <x:c r="A244" s="18">
        <x:f>IF(Journal_Import!A244="","",Journal_Import!A244)</x:f>
      </x:c>
      <x:c r="B244" s="18">
        <x:f>IF(A244="","",Journal_Import!B244)</x:f>
      </x:c>
      <x:c r="C244" s="18">
        <x:f>IF(A244="","",Journal_Import!I244)</x:f>
      </x:c>
      <x:c r="D244" s="18">
        <x:f>IF(A244="","",Journal_Import!J244)</x:f>
      </x:c>
      <x:c r="E244" s="19">
        <x:f>IF(A244="","",Journal_Import!D244)</x:f>
      </x:c>
      <x:c r="F244" s="19">
        <x:f>IF(A244="","",Journal_Import!F244)</x:f>
      </x:c>
      <x:c r="G244" s="19">
        <x:f>IF(A244="","",Journal_Import!G244)</x:f>
      </x:c>
      <x:c r="H244" s="19">
        <x:f>IF(A244="","",Journal_Import!H244)</x:f>
      </x:c>
      <x:c r="I244" s="12">
        <x:f>IF(A244="","",Journal_Import!S244)</x:f>
      </x:c>
      <x:c r="J244" s="12">
        <x:f>IF(A244="","",Journal_Import!T244)</x:f>
      </x:c>
      <x:c r="K244" s="12">
        <x:f>IF(C244="","",IF(C244=C243,K243+I244-J244,IFERROR(INDEX(COA_Master!$N:$N,MATCH(C244,COA_Master!$A:$A,0)),0)+I244-J244))</x:f>
      </x:c>
      <x:c r="L244" s="19">
        <x:f>IF(A244="","",IF(IFERROR(INDEX(COA_Master!$G:$G,MATCH(C244,COA_Master!$A:$A,0)),"Debit")="Debit",IF(K244&gt;=0,"Debit","Credit"),IF(K244&gt;=0,"Credit","Debit")))</x:f>
      </x:c>
      <x:c r="M244" s="19">
        <x:f>IF(A244="","",Journal_Import!V244)</x:f>
      </x:c>
      <x:c r="N244" s="19">
        <x:f>IF(A244="","",Journal_Import!W244)</x:f>
      </x:c>
      <x:c r="O244" s="19">
        <x:f>IF(A244="","",Journal_Import!Z244)</x:f>
      </x:c>
    </x:row>
    <x:row r="245">
      <x:c r="A245" s="18">
        <x:f>IF(Journal_Import!A245="","",Journal_Import!A245)</x:f>
      </x:c>
      <x:c r="B245" s="18">
        <x:f>IF(A245="","",Journal_Import!B245)</x:f>
      </x:c>
      <x:c r="C245" s="18">
        <x:f>IF(A245="","",Journal_Import!I245)</x:f>
      </x:c>
      <x:c r="D245" s="18">
        <x:f>IF(A245="","",Journal_Import!J245)</x:f>
      </x:c>
      <x:c r="E245" s="19">
        <x:f>IF(A245="","",Journal_Import!D245)</x:f>
      </x:c>
      <x:c r="F245" s="19">
        <x:f>IF(A245="","",Journal_Import!F245)</x:f>
      </x:c>
      <x:c r="G245" s="19">
        <x:f>IF(A245="","",Journal_Import!G245)</x:f>
      </x:c>
      <x:c r="H245" s="19">
        <x:f>IF(A245="","",Journal_Import!H245)</x:f>
      </x:c>
      <x:c r="I245" s="12">
        <x:f>IF(A245="","",Journal_Import!S245)</x:f>
      </x:c>
      <x:c r="J245" s="12">
        <x:f>IF(A245="","",Journal_Import!T245)</x:f>
      </x:c>
      <x:c r="K245" s="12">
        <x:f>IF(C245="","",IF(C245=C244,K244+I245-J245,IFERROR(INDEX(COA_Master!$N:$N,MATCH(C245,COA_Master!$A:$A,0)),0)+I245-J245))</x:f>
      </x:c>
      <x:c r="L245" s="19">
        <x:f>IF(A245="","",IF(IFERROR(INDEX(COA_Master!$G:$G,MATCH(C245,COA_Master!$A:$A,0)),"Debit")="Debit",IF(K245&gt;=0,"Debit","Credit"),IF(K245&gt;=0,"Credit","Debit")))</x:f>
      </x:c>
      <x:c r="M245" s="19">
        <x:f>IF(A245="","",Journal_Import!V245)</x:f>
      </x:c>
      <x:c r="N245" s="19">
        <x:f>IF(A245="","",Journal_Import!W245)</x:f>
      </x:c>
      <x:c r="O245" s="19">
        <x:f>IF(A245="","",Journal_Import!Z245)</x:f>
      </x:c>
    </x:row>
    <x:row r="246">
      <x:c r="A246" s="18">
        <x:f>IF(Journal_Import!A246="","",Journal_Import!A246)</x:f>
      </x:c>
      <x:c r="B246" s="18">
        <x:f>IF(A246="","",Journal_Import!B246)</x:f>
      </x:c>
      <x:c r="C246" s="18">
        <x:f>IF(A246="","",Journal_Import!I246)</x:f>
      </x:c>
      <x:c r="D246" s="18">
        <x:f>IF(A246="","",Journal_Import!J246)</x:f>
      </x:c>
      <x:c r="E246" s="19">
        <x:f>IF(A246="","",Journal_Import!D246)</x:f>
      </x:c>
      <x:c r="F246" s="19">
        <x:f>IF(A246="","",Journal_Import!F246)</x:f>
      </x:c>
      <x:c r="G246" s="19">
        <x:f>IF(A246="","",Journal_Import!G246)</x:f>
      </x:c>
      <x:c r="H246" s="19">
        <x:f>IF(A246="","",Journal_Import!H246)</x:f>
      </x:c>
      <x:c r="I246" s="12">
        <x:f>IF(A246="","",Journal_Import!S246)</x:f>
      </x:c>
      <x:c r="J246" s="12">
        <x:f>IF(A246="","",Journal_Import!T246)</x:f>
      </x:c>
      <x:c r="K246" s="12">
        <x:f>IF(C246="","",IF(C246=C245,K245+I246-J246,IFERROR(INDEX(COA_Master!$N:$N,MATCH(C246,COA_Master!$A:$A,0)),0)+I246-J246))</x:f>
      </x:c>
      <x:c r="L246" s="19">
        <x:f>IF(A246="","",IF(IFERROR(INDEX(COA_Master!$G:$G,MATCH(C246,COA_Master!$A:$A,0)),"Debit")="Debit",IF(K246&gt;=0,"Debit","Credit"),IF(K246&gt;=0,"Credit","Debit")))</x:f>
      </x:c>
      <x:c r="M246" s="19">
        <x:f>IF(A246="","",Journal_Import!V246)</x:f>
      </x:c>
      <x:c r="N246" s="19">
        <x:f>IF(A246="","",Journal_Import!W246)</x:f>
      </x:c>
      <x:c r="O246" s="19">
        <x:f>IF(A246="","",Journal_Import!Z246)</x:f>
      </x:c>
    </x:row>
    <x:row r="247">
      <x:c r="A247" s="18">
        <x:f>IF(Journal_Import!A247="","",Journal_Import!A247)</x:f>
      </x:c>
      <x:c r="B247" s="18">
        <x:f>IF(A247="","",Journal_Import!B247)</x:f>
      </x:c>
      <x:c r="C247" s="18">
        <x:f>IF(A247="","",Journal_Import!I247)</x:f>
      </x:c>
      <x:c r="D247" s="18">
        <x:f>IF(A247="","",Journal_Import!J247)</x:f>
      </x:c>
      <x:c r="E247" s="19">
        <x:f>IF(A247="","",Journal_Import!D247)</x:f>
      </x:c>
      <x:c r="F247" s="19">
        <x:f>IF(A247="","",Journal_Import!F247)</x:f>
      </x:c>
      <x:c r="G247" s="19">
        <x:f>IF(A247="","",Journal_Import!G247)</x:f>
      </x:c>
      <x:c r="H247" s="19">
        <x:f>IF(A247="","",Journal_Import!H247)</x:f>
      </x:c>
      <x:c r="I247" s="12">
        <x:f>IF(A247="","",Journal_Import!S247)</x:f>
      </x:c>
      <x:c r="J247" s="12">
        <x:f>IF(A247="","",Journal_Import!T247)</x:f>
      </x:c>
      <x:c r="K247" s="12">
        <x:f>IF(C247="","",IF(C247=C246,K246+I247-J247,IFERROR(INDEX(COA_Master!$N:$N,MATCH(C247,COA_Master!$A:$A,0)),0)+I247-J247))</x:f>
      </x:c>
      <x:c r="L247" s="19">
        <x:f>IF(A247="","",IF(IFERROR(INDEX(COA_Master!$G:$G,MATCH(C247,COA_Master!$A:$A,0)),"Debit")="Debit",IF(K247&gt;=0,"Debit","Credit"),IF(K247&gt;=0,"Credit","Debit")))</x:f>
      </x:c>
      <x:c r="M247" s="19">
        <x:f>IF(A247="","",Journal_Import!V247)</x:f>
      </x:c>
      <x:c r="N247" s="19">
        <x:f>IF(A247="","",Journal_Import!W247)</x:f>
      </x:c>
      <x:c r="O247" s="19">
        <x:f>IF(A247="","",Journal_Import!Z247)</x:f>
      </x:c>
    </x:row>
    <x:row r="248">
      <x:c r="A248" s="18">
        <x:f>IF(Journal_Import!A248="","",Journal_Import!A248)</x:f>
      </x:c>
      <x:c r="B248" s="18">
        <x:f>IF(A248="","",Journal_Import!B248)</x:f>
      </x:c>
      <x:c r="C248" s="18">
        <x:f>IF(A248="","",Journal_Import!I248)</x:f>
      </x:c>
      <x:c r="D248" s="18">
        <x:f>IF(A248="","",Journal_Import!J248)</x:f>
      </x:c>
      <x:c r="E248" s="19">
        <x:f>IF(A248="","",Journal_Import!D248)</x:f>
      </x:c>
      <x:c r="F248" s="19">
        <x:f>IF(A248="","",Journal_Import!F248)</x:f>
      </x:c>
      <x:c r="G248" s="19">
        <x:f>IF(A248="","",Journal_Import!G248)</x:f>
      </x:c>
      <x:c r="H248" s="19">
        <x:f>IF(A248="","",Journal_Import!H248)</x:f>
      </x:c>
      <x:c r="I248" s="12">
        <x:f>IF(A248="","",Journal_Import!S248)</x:f>
      </x:c>
      <x:c r="J248" s="12">
        <x:f>IF(A248="","",Journal_Import!T248)</x:f>
      </x:c>
      <x:c r="K248" s="12">
        <x:f>IF(C248="","",IF(C248=C247,K247+I248-J248,IFERROR(INDEX(COA_Master!$N:$N,MATCH(C248,COA_Master!$A:$A,0)),0)+I248-J248))</x:f>
      </x:c>
      <x:c r="L248" s="19">
        <x:f>IF(A248="","",IF(IFERROR(INDEX(COA_Master!$G:$G,MATCH(C248,COA_Master!$A:$A,0)),"Debit")="Debit",IF(K248&gt;=0,"Debit","Credit"),IF(K248&gt;=0,"Credit","Debit")))</x:f>
      </x:c>
      <x:c r="M248" s="19">
        <x:f>IF(A248="","",Journal_Import!V248)</x:f>
      </x:c>
      <x:c r="N248" s="19">
        <x:f>IF(A248="","",Journal_Import!W248)</x:f>
      </x:c>
      <x:c r="O248" s="19">
        <x:f>IF(A248="","",Journal_Import!Z248)</x:f>
      </x:c>
    </x:row>
    <x:row r="249">
      <x:c r="A249" s="18">
        <x:f>IF(Journal_Import!A249="","",Journal_Import!A249)</x:f>
      </x:c>
      <x:c r="B249" s="18">
        <x:f>IF(A249="","",Journal_Import!B249)</x:f>
      </x:c>
      <x:c r="C249" s="18">
        <x:f>IF(A249="","",Journal_Import!I249)</x:f>
      </x:c>
      <x:c r="D249" s="18">
        <x:f>IF(A249="","",Journal_Import!J249)</x:f>
      </x:c>
      <x:c r="E249" s="19">
        <x:f>IF(A249="","",Journal_Import!D249)</x:f>
      </x:c>
      <x:c r="F249" s="19">
        <x:f>IF(A249="","",Journal_Import!F249)</x:f>
      </x:c>
      <x:c r="G249" s="19">
        <x:f>IF(A249="","",Journal_Import!G249)</x:f>
      </x:c>
      <x:c r="H249" s="19">
        <x:f>IF(A249="","",Journal_Import!H249)</x:f>
      </x:c>
      <x:c r="I249" s="12">
        <x:f>IF(A249="","",Journal_Import!S249)</x:f>
      </x:c>
      <x:c r="J249" s="12">
        <x:f>IF(A249="","",Journal_Import!T249)</x:f>
      </x:c>
      <x:c r="K249" s="12">
        <x:f>IF(C249="","",IF(C249=C248,K248+I249-J249,IFERROR(INDEX(COA_Master!$N:$N,MATCH(C249,COA_Master!$A:$A,0)),0)+I249-J249))</x:f>
      </x:c>
      <x:c r="L249" s="19">
        <x:f>IF(A249="","",IF(IFERROR(INDEX(COA_Master!$G:$G,MATCH(C249,COA_Master!$A:$A,0)),"Debit")="Debit",IF(K249&gt;=0,"Debit","Credit"),IF(K249&gt;=0,"Credit","Debit")))</x:f>
      </x:c>
      <x:c r="M249" s="19">
        <x:f>IF(A249="","",Journal_Import!V249)</x:f>
      </x:c>
      <x:c r="N249" s="19">
        <x:f>IF(A249="","",Journal_Import!W249)</x:f>
      </x:c>
      <x:c r="O249" s="19">
        <x:f>IF(A249="","",Journal_Import!Z249)</x:f>
      </x:c>
    </x:row>
    <x:row r="250">
      <x:c r="A250" s="18">
        <x:f>IF(Journal_Import!A250="","",Journal_Import!A250)</x:f>
      </x:c>
      <x:c r="B250" s="18">
        <x:f>IF(A250="","",Journal_Import!B250)</x:f>
      </x:c>
      <x:c r="C250" s="18">
        <x:f>IF(A250="","",Journal_Import!I250)</x:f>
      </x:c>
      <x:c r="D250" s="18">
        <x:f>IF(A250="","",Journal_Import!J250)</x:f>
      </x:c>
      <x:c r="E250" s="19">
        <x:f>IF(A250="","",Journal_Import!D250)</x:f>
      </x:c>
      <x:c r="F250" s="19">
        <x:f>IF(A250="","",Journal_Import!F250)</x:f>
      </x:c>
      <x:c r="G250" s="19">
        <x:f>IF(A250="","",Journal_Import!G250)</x:f>
      </x:c>
      <x:c r="H250" s="19">
        <x:f>IF(A250="","",Journal_Import!H250)</x:f>
      </x:c>
      <x:c r="I250" s="12">
        <x:f>IF(A250="","",Journal_Import!S250)</x:f>
      </x:c>
      <x:c r="J250" s="12">
        <x:f>IF(A250="","",Journal_Import!T250)</x:f>
      </x:c>
      <x:c r="K250" s="12">
        <x:f>IF(C250="","",IF(C250=C249,K249+I250-J250,IFERROR(INDEX(COA_Master!$N:$N,MATCH(C250,COA_Master!$A:$A,0)),0)+I250-J250))</x:f>
      </x:c>
      <x:c r="L250" s="19">
        <x:f>IF(A250="","",IF(IFERROR(INDEX(COA_Master!$G:$G,MATCH(C250,COA_Master!$A:$A,0)),"Debit")="Debit",IF(K250&gt;=0,"Debit","Credit"),IF(K250&gt;=0,"Credit","Debit")))</x:f>
      </x:c>
      <x:c r="M250" s="19">
        <x:f>IF(A250="","",Journal_Import!V250)</x:f>
      </x:c>
      <x:c r="N250" s="19">
        <x:f>IF(A250="","",Journal_Import!W250)</x:f>
      </x:c>
      <x:c r="O250" s="19">
        <x:f>IF(A250="","",Journal_Import!Z250)</x:f>
      </x:c>
    </x:row>
    <x:row r="251">
      <x:c r="A251" s="18">
        <x:f>IF(Journal_Import!A251="","",Journal_Import!A251)</x:f>
      </x:c>
      <x:c r="B251" s="18">
        <x:f>IF(A251="","",Journal_Import!B251)</x:f>
      </x:c>
      <x:c r="C251" s="18">
        <x:f>IF(A251="","",Journal_Import!I251)</x:f>
      </x:c>
      <x:c r="D251" s="18">
        <x:f>IF(A251="","",Journal_Import!J251)</x:f>
      </x:c>
      <x:c r="E251" s="19">
        <x:f>IF(A251="","",Journal_Import!D251)</x:f>
      </x:c>
      <x:c r="F251" s="19">
        <x:f>IF(A251="","",Journal_Import!F251)</x:f>
      </x:c>
      <x:c r="G251" s="19">
        <x:f>IF(A251="","",Journal_Import!G251)</x:f>
      </x:c>
      <x:c r="H251" s="19">
        <x:f>IF(A251="","",Journal_Import!H251)</x:f>
      </x:c>
      <x:c r="I251" s="12">
        <x:f>IF(A251="","",Journal_Import!S251)</x:f>
      </x:c>
      <x:c r="J251" s="12">
        <x:f>IF(A251="","",Journal_Import!T251)</x:f>
      </x:c>
      <x:c r="K251" s="12">
        <x:f>IF(C251="","",IF(C251=C250,K250+I251-J251,IFERROR(INDEX(COA_Master!$N:$N,MATCH(C251,COA_Master!$A:$A,0)),0)+I251-J251))</x:f>
      </x:c>
      <x:c r="L251" s="19">
        <x:f>IF(A251="","",IF(IFERROR(INDEX(COA_Master!$G:$G,MATCH(C251,COA_Master!$A:$A,0)),"Debit")="Debit",IF(K251&gt;=0,"Debit","Credit"),IF(K251&gt;=0,"Credit","Debit")))</x:f>
      </x:c>
      <x:c r="M251" s="19">
        <x:f>IF(A251="","",Journal_Import!V251)</x:f>
      </x:c>
      <x:c r="N251" s="19">
        <x:f>IF(A251="","",Journal_Import!W251)</x:f>
      </x:c>
      <x:c r="O251" s="19">
        <x:f>IF(A251="","",Journal_Import!Z251)</x:f>
      </x:c>
    </x:row>
    <x:row r="252">
      <x:c r="A252" s="18">
        <x:f>IF(Journal_Import!A252="","",Journal_Import!A252)</x:f>
      </x:c>
      <x:c r="B252" s="18">
        <x:f>IF(A252="","",Journal_Import!B252)</x:f>
      </x:c>
      <x:c r="C252" s="18">
        <x:f>IF(A252="","",Journal_Import!I252)</x:f>
      </x:c>
      <x:c r="D252" s="18">
        <x:f>IF(A252="","",Journal_Import!J252)</x:f>
      </x:c>
      <x:c r="E252" s="19">
        <x:f>IF(A252="","",Journal_Import!D252)</x:f>
      </x:c>
      <x:c r="F252" s="19">
        <x:f>IF(A252="","",Journal_Import!F252)</x:f>
      </x:c>
      <x:c r="G252" s="19">
        <x:f>IF(A252="","",Journal_Import!G252)</x:f>
      </x:c>
      <x:c r="H252" s="19">
        <x:f>IF(A252="","",Journal_Import!H252)</x:f>
      </x:c>
      <x:c r="I252" s="12">
        <x:f>IF(A252="","",Journal_Import!S252)</x:f>
      </x:c>
      <x:c r="J252" s="12">
        <x:f>IF(A252="","",Journal_Import!T252)</x:f>
      </x:c>
      <x:c r="K252" s="12">
        <x:f>IF(C252="","",IF(C252=C251,K251+I252-J252,IFERROR(INDEX(COA_Master!$N:$N,MATCH(C252,COA_Master!$A:$A,0)),0)+I252-J252))</x:f>
      </x:c>
      <x:c r="L252" s="19">
        <x:f>IF(A252="","",IF(IFERROR(INDEX(COA_Master!$G:$G,MATCH(C252,COA_Master!$A:$A,0)),"Debit")="Debit",IF(K252&gt;=0,"Debit","Credit"),IF(K252&gt;=0,"Credit","Debit")))</x:f>
      </x:c>
      <x:c r="M252" s="19">
        <x:f>IF(A252="","",Journal_Import!V252)</x:f>
      </x:c>
      <x:c r="N252" s="19">
        <x:f>IF(A252="","",Journal_Import!W252)</x:f>
      </x:c>
      <x:c r="O252" s="19">
        <x:f>IF(A252="","",Journal_Import!Z252)</x:f>
      </x:c>
    </x:row>
    <x:row r="253">
      <x:c r="A253" s="18">
        <x:f>IF(Journal_Import!A253="","",Journal_Import!A253)</x:f>
      </x:c>
      <x:c r="B253" s="18">
        <x:f>IF(A253="","",Journal_Import!B253)</x:f>
      </x:c>
      <x:c r="C253" s="18">
        <x:f>IF(A253="","",Journal_Import!I253)</x:f>
      </x:c>
      <x:c r="D253" s="18">
        <x:f>IF(A253="","",Journal_Import!J253)</x:f>
      </x:c>
      <x:c r="E253" s="19">
        <x:f>IF(A253="","",Journal_Import!D253)</x:f>
      </x:c>
      <x:c r="F253" s="19">
        <x:f>IF(A253="","",Journal_Import!F253)</x:f>
      </x:c>
      <x:c r="G253" s="19">
        <x:f>IF(A253="","",Journal_Import!G253)</x:f>
      </x:c>
      <x:c r="H253" s="19">
        <x:f>IF(A253="","",Journal_Import!H253)</x:f>
      </x:c>
      <x:c r="I253" s="12">
        <x:f>IF(A253="","",Journal_Import!S253)</x:f>
      </x:c>
      <x:c r="J253" s="12">
        <x:f>IF(A253="","",Journal_Import!T253)</x:f>
      </x:c>
      <x:c r="K253" s="12">
        <x:f>IF(C253="","",IF(C253=C252,K252+I253-J253,IFERROR(INDEX(COA_Master!$N:$N,MATCH(C253,COA_Master!$A:$A,0)),0)+I253-J253))</x:f>
      </x:c>
      <x:c r="L253" s="19">
        <x:f>IF(A253="","",IF(IFERROR(INDEX(COA_Master!$G:$G,MATCH(C253,COA_Master!$A:$A,0)),"Debit")="Debit",IF(K253&gt;=0,"Debit","Credit"),IF(K253&gt;=0,"Credit","Debit")))</x:f>
      </x:c>
      <x:c r="M253" s="19">
        <x:f>IF(A253="","",Journal_Import!V253)</x:f>
      </x:c>
      <x:c r="N253" s="19">
        <x:f>IF(A253="","",Journal_Import!W253)</x:f>
      </x:c>
      <x:c r="O253" s="19">
        <x:f>IF(A253="","",Journal_Import!Z253)</x:f>
      </x:c>
    </x:row>
    <x:row r="254">
      <x:c r="A254" s="18">
        <x:f>IF(Journal_Import!A254="","",Journal_Import!A254)</x:f>
      </x:c>
      <x:c r="B254" s="18">
        <x:f>IF(A254="","",Journal_Import!B254)</x:f>
      </x:c>
      <x:c r="C254" s="18">
        <x:f>IF(A254="","",Journal_Import!I254)</x:f>
      </x:c>
      <x:c r="D254" s="18">
        <x:f>IF(A254="","",Journal_Import!J254)</x:f>
      </x:c>
      <x:c r="E254" s="19">
        <x:f>IF(A254="","",Journal_Import!D254)</x:f>
      </x:c>
      <x:c r="F254" s="19">
        <x:f>IF(A254="","",Journal_Import!F254)</x:f>
      </x:c>
      <x:c r="G254" s="19">
        <x:f>IF(A254="","",Journal_Import!G254)</x:f>
      </x:c>
      <x:c r="H254" s="19">
        <x:f>IF(A254="","",Journal_Import!H254)</x:f>
      </x:c>
      <x:c r="I254" s="12">
        <x:f>IF(A254="","",Journal_Import!S254)</x:f>
      </x:c>
      <x:c r="J254" s="12">
        <x:f>IF(A254="","",Journal_Import!T254)</x:f>
      </x:c>
      <x:c r="K254" s="12">
        <x:f>IF(C254="","",IF(C254=C253,K253+I254-J254,IFERROR(INDEX(COA_Master!$N:$N,MATCH(C254,COA_Master!$A:$A,0)),0)+I254-J254))</x:f>
      </x:c>
      <x:c r="L254" s="19">
        <x:f>IF(A254="","",IF(IFERROR(INDEX(COA_Master!$G:$G,MATCH(C254,COA_Master!$A:$A,0)),"Debit")="Debit",IF(K254&gt;=0,"Debit","Credit"),IF(K254&gt;=0,"Credit","Debit")))</x:f>
      </x:c>
      <x:c r="M254" s="19">
        <x:f>IF(A254="","",Journal_Import!V254)</x:f>
      </x:c>
      <x:c r="N254" s="19">
        <x:f>IF(A254="","",Journal_Import!W254)</x:f>
      </x:c>
      <x:c r="O254" s="19">
        <x:f>IF(A254="","",Journal_Import!Z254)</x:f>
      </x:c>
    </x:row>
    <x:row r="255">
      <x:c r="A255" s="18">
        <x:f>IF(Journal_Import!A255="","",Journal_Import!A255)</x:f>
      </x:c>
      <x:c r="B255" s="18">
        <x:f>IF(A255="","",Journal_Import!B255)</x:f>
      </x:c>
      <x:c r="C255" s="18">
        <x:f>IF(A255="","",Journal_Import!I255)</x:f>
      </x:c>
      <x:c r="D255" s="18">
        <x:f>IF(A255="","",Journal_Import!J255)</x:f>
      </x:c>
      <x:c r="E255" s="19">
        <x:f>IF(A255="","",Journal_Import!D255)</x:f>
      </x:c>
      <x:c r="F255" s="19">
        <x:f>IF(A255="","",Journal_Import!F255)</x:f>
      </x:c>
      <x:c r="G255" s="19">
        <x:f>IF(A255="","",Journal_Import!G255)</x:f>
      </x:c>
      <x:c r="H255" s="19">
        <x:f>IF(A255="","",Journal_Import!H255)</x:f>
      </x:c>
      <x:c r="I255" s="12">
        <x:f>IF(A255="","",Journal_Import!S255)</x:f>
      </x:c>
      <x:c r="J255" s="12">
        <x:f>IF(A255="","",Journal_Import!T255)</x:f>
      </x:c>
      <x:c r="K255" s="12">
        <x:f>IF(C255="","",IF(C255=C254,K254+I255-J255,IFERROR(INDEX(COA_Master!$N:$N,MATCH(C255,COA_Master!$A:$A,0)),0)+I255-J255))</x:f>
      </x:c>
      <x:c r="L255" s="19">
        <x:f>IF(A255="","",IF(IFERROR(INDEX(COA_Master!$G:$G,MATCH(C255,COA_Master!$A:$A,0)),"Debit")="Debit",IF(K255&gt;=0,"Debit","Credit"),IF(K255&gt;=0,"Credit","Debit")))</x:f>
      </x:c>
      <x:c r="M255" s="19">
        <x:f>IF(A255="","",Journal_Import!V255)</x:f>
      </x:c>
      <x:c r="N255" s="19">
        <x:f>IF(A255="","",Journal_Import!W255)</x:f>
      </x:c>
      <x:c r="O255" s="19">
        <x:f>IF(A255="","",Journal_Import!Z255)</x:f>
      </x:c>
    </x:row>
    <x:row r="256">
      <x:c r="A256" s="18">
        <x:f>IF(Journal_Import!A256="","",Journal_Import!A256)</x:f>
      </x:c>
      <x:c r="B256" s="18">
        <x:f>IF(A256="","",Journal_Import!B256)</x:f>
      </x:c>
      <x:c r="C256" s="18">
        <x:f>IF(A256="","",Journal_Import!I256)</x:f>
      </x:c>
      <x:c r="D256" s="18">
        <x:f>IF(A256="","",Journal_Import!J256)</x:f>
      </x:c>
      <x:c r="E256" s="19">
        <x:f>IF(A256="","",Journal_Import!D256)</x:f>
      </x:c>
      <x:c r="F256" s="19">
        <x:f>IF(A256="","",Journal_Import!F256)</x:f>
      </x:c>
      <x:c r="G256" s="19">
        <x:f>IF(A256="","",Journal_Import!G256)</x:f>
      </x:c>
      <x:c r="H256" s="19">
        <x:f>IF(A256="","",Journal_Import!H256)</x:f>
      </x:c>
      <x:c r="I256" s="12">
        <x:f>IF(A256="","",Journal_Import!S256)</x:f>
      </x:c>
      <x:c r="J256" s="12">
        <x:f>IF(A256="","",Journal_Import!T256)</x:f>
      </x:c>
      <x:c r="K256" s="12">
        <x:f>IF(C256="","",IF(C256=C255,K255+I256-J256,IFERROR(INDEX(COA_Master!$N:$N,MATCH(C256,COA_Master!$A:$A,0)),0)+I256-J256))</x:f>
      </x:c>
      <x:c r="L256" s="19">
        <x:f>IF(A256="","",IF(IFERROR(INDEX(COA_Master!$G:$G,MATCH(C256,COA_Master!$A:$A,0)),"Debit")="Debit",IF(K256&gt;=0,"Debit","Credit"),IF(K256&gt;=0,"Credit","Debit")))</x:f>
      </x:c>
      <x:c r="M256" s="19">
        <x:f>IF(A256="","",Journal_Import!V256)</x:f>
      </x:c>
      <x:c r="N256" s="19">
        <x:f>IF(A256="","",Journal_Import!W256)</x:f>
      </x:c>
      <x:c r="O256" s="19">
        <x:f>IF(A256="","",Journal_Import!Z256)</x:f>
      </x:c>
    </x:row>
    <x:row r="257">
      <x:c r="A257" s="18">
        <x:f>IF(Journal_Import!A257="","",Journal_Import!A257)</x:f>
      </x:c>
      <x:c r="B257" s="18">
        <x:f>IF(A257="","",Journal_Import!B257)</x:f>
      </x:c>
      <x:c r="C257" s="18">
        <x:f>IF(A257="","",Journal_Import!I257)</x:f>
      </x:c>
      <x:c r="D257" s="18">
        <x:f>IF(A257="","",Journal_Import!J257)</x:f>
      </x:c>
      <x:c r="E257" s="19">
        <x:f>IF(A257="","",Journal_Import!D257)</x:f>
      </x:c>
      <x:c r="F257" s="19">
        <x:f>IF(A257="","",Journal_Import!F257)</x:f>
      </x:c>
      <x:c r="G257" s="19">
        <x:f>IF(A257="","",Journal_Import!G257)</x:f>
      </x:c>
      <x:c r="H257" s="19">
        <x:f>IF(A257="","",Journal_Import!H257)</x:f>
      </x:c>
      <x:c r="I257" s="12">
        <x:f>IF(A257="","",Journal_Import!S257)</x:f>
      </x:c>
      <x:c r="J257" s="12">
        <x:f>IF(A257="","",Journal_Import!T257)</x:f>
      </x:c>
      <x:c r="K257" s="12">
        <x:f>IF(C257="","",IF(C257=C256,K256+I257-J257,IFERROR(INDEX(COA_Master!$N:$N,MATCH(C257,COA_Master!$A:$A,0)),0)+I257-J257))</x:f>
      </x:c>
      <x:c r="L257" s="19">
        <x:f>IF(A257="","",IF(IFERROR(INDEX(COA_Master!$G:$G,MATCH(C257,COA_Master!$A:$A,0)),"Debit")="Debit",IF(K257&gt;=0,"Debit","Credit"),IF(K257&gt;=0,"Credit","Debit")))</x:f>
      </x:c>
      <x:c r="M257" s="19">
        <x:f>IF(A257="","",Journal_Import!V257)</x:f>
      </x:c>
      <x:c r="N257" s="19">
        <x:f>IF(A257="","",Journal_Import!W257)</x:f>
      </x:c>
      <x:c r="O257" s="19">
        <x:f>IF(A257="","",Journal_Import!Z257)</x:f>
      </x:c>
    </x:row>
    <x:row r="258">
      <x:c r="A258" s="18">
        <x:f>IF(Journal_Import!A258="","",Journal_Import!A258)</x:f>
      </x:c>
      <x:c r="B258" s="18">
        <x:f>IF(A258="","",Journal_Import!B258)</x:f>
      </x:c>
      <x:c r="C258" s="18">
        <x:f>IF(A258="","",Journal_Import!I258)</x:f>
      </x:c>
      <x:c r="D258" s="18">
        <x:f>IF(A258="","",Journal_Import!J258)</x:f>
      </x:c>
      <x:c r="E258" s="19">
        <x:f>IF(A258="","",Journal_Import!D258)</x:f>
      </x:c>
      <x:c r="F258" s="19">
        <x:f>IF(A258="","",Journal_Import!F258)</x:f>
      </x:c>
      <x:c r="G258" s="19">
        <x:f>IF(A258="","",Journal_Import!G258)</x:f>
      </x:c>
      <x:c r="H258" s="19">
        <x:f>IF(A258="","",Journal_Import!H258)</x:f>
      </x:c>
      <x:c r="I258" s="12">
        <x:f>IF(A258="","",Journal_Import!S258)</x:f>
      </x:c>
      <x:c r="J258" s="12">
        <x:f>IF(A258="","",Journal_Import!T258)</x:f>
      </x:c>
      <x:c r="K258" s="12">
        <x:f>IF(C258="","",IF(C258=C257,K257+I258-J258,IFERROR(INDEX(COA_Master!$N:$N,MATCH(C258,COA_Master!$A:$A,0)),0)+I258-J258))</x:f>
      </x:c>
      <x:c r="L258" s="19">
        <x:f>IF(A258="","",IF(IFERROR(INDEX(COA_Master!$G:$G,MATCH(C258,COA_Master!$A:$A,0)),"Debit")="Debit",IF(K258&gt;=0,"Debit","Credit"),IF(K258&gt;=0,"Credit","Debit")))</x:f>
      </x:c>
      <x:c r="M258" s="19">
        <x:f>IF(A258="","",Journal_Import!V258)</x:f>
      </x:c>
      <x:c r="N258" s="19">
        <x:f>IF(A258="","",Journal_Import!W258)</x:f>
      </x:c>
      <x:c r="O258" s="19">
        <x:f>IF(A258="","",Journal_Import!Z258)</x:f>
      </x:c>
    </x:row>
    <x:row r="259">
      <x:c r="A259" s="18">
        <x:f>IF(Journal_Import!A259="","",Journal_Import!A259)</x:f>
      </x:c>
      <x:c r="B259" s="18">
        <x:f>IF(A259="","",Journal_Import!B259)</x:f>
      </x:c>
      <x:c r="C259" s="18">
        <x:f>IF(A259="","",Journal_Import!I259)</x:f>
      </x:c>
      <x:c r="D259" s="18">
        <x:f>IF(A259="","",Journal_Import!J259)</x:f>
      </x:c>
      <x:c r="E259" s="19">
        <x:f>IF(A259="","",Journal_Import!D259)</x:f>
      </x:c>
      <x:c r="F259" s="19">
        <x:f>IF(A259="","",Journal_Import!F259)</x:f>
      </x:c>
      <x:c r="G259" s="19">
        <x:f>IF(A259="","",Journal_Import!G259)</x:f>
      </x:c>
      <x:c r="H259" s="19">
        <x:f>IF(A259="","",Journal_Import!H259)</x:f>
      </x:c>
      <x:c r="I259" s="12">
        <x:f>IF(A259="","",Journal_Import!S259)</x:f>
      </x:c>
      <x:c r="J259" s="12">
        <x:f>IF(A259="","",Journal_Import!T259)</x:f>
      </x:c>
      <x:c r="K259" s="12">
        <x:f>IF(C259="","",IF(C259=C258,K258+I259-J259,IFERROR(INDEX(COA_Master!$N:$N,MATCH(C259,COA_Master!$A:$A,0)),0)+I259-J259))</x:f>
      </x:c>
      <x:c r="L259" s="19">
        <x:f>IF(A259="","",IF(IFERROR(INDEX(COA_Master!$G:$G,MATCH(C259,COA_Master!$A:$A,0)),"Debit")="Debit",IF(K259&gt;=0,"Debit","Credit"),IF(K259&gt;=0,"Credit","Debit")))</x:f>
      </x:c>
      <x:c r="M259" s="19">
        <x:f>IF(A259="","",Journal_Import!V259)</x:f>
      </x:c>
      <x:c r="N259" s="19">
        <x:f>IF(A259="","",Journal_Import!W259)</x:f>
      </x:c>
      <x:c r="O259" s="19">
        <x:f>IF(A259="","",Journal_Import!Z259)</x:f>
      </x:c>
    </x:row>
    <x:row r="260">
      <x:c r="A260" s="18">
        <x:f>IF(Journal_Import!A260="","",Journal_Import!A260)</x:f>
      </x:c>
      <x:c r="B260" s="18">
        <x:f>IF(A260="","",Journal_Import!B260)</x:f>
      </x:c>
      <x:c r="C260" s="18">
        <x:f>IF(A260="","",Journal_Import!I260)</x:f>
      </x:c>
      <x:c r="D260" s="18">
        <x:f>IF(A260="","",Journal_Import!J260)</x:f>
      </x:c>
      <x:c r="E260" s="19">
        <x:f>IF(A260="","",Journal_Import!D260)</x:f>
      </x:c>
      <x:c r="F260" s="19">
        <x:f>IF(A260="","",Journal_Import!F260)</x:f>
      </x:c>
      <x:c r="G260" s="19">
        <x:f>IF(A260="","",Journal_Import!G260)</x:f>
      </x:c>
      <x:c r="H260" s="19">
        <x:f>IF(A260="","",Journal_Import!H260)</x:f>
      </x:c>
      <x:c r="I260" s="12">
        <x:f>IF(A260="","",Journal_Import!S260)</x:f>
      </x:c>
      <x:c r="J260" s="12">
        <x:f>IF(A260="","",Journal_Import!T260)</x:f>
      </x:c>
      <x:c r="K260" s="12">
        <x:f>IF(C260="","",IF(C260=C259,K259+I260-J260,IFERROR(INDEX(COA_Master!$N:$N,MATCH(C260,COA_Master!$A:$A,0)),0)+I260-J260))</x:f>
      </x:c>
      <x:c r="L260" s="19">
        <x:f>IF(A260="","",IF(IFERROR(INDEX(COA_Master!$G:$G,MATCH(C260,COA_Master!$A:$A,0)),"Debit")="Debit",IF(K260&gt;=0,"Debit","Credit"),IF(K260&gt;=0,"Credit","Debit")))</x:f>
      </x:c>
      <x:c r="M260" s="19">
        <x:f>IF(A260="","",Journal_Import!V260)</x:f>
      </x:c>
      <x:c r="N260" s="19">
        <x:f>IF(A260="","",Journal_Import!W260)</x:f>
      </x:c>
      <x:c r="O260" s="19">
        <x:f>IF(A260="","",Journal_Import!Z260)</x:f>
      </x:c>
    </x:row>
    <x:row r="261">
      <x:c r="A261" s="18">
        <x:f>IF(Journal_Import!A261="","",Journal_Import!A261)</x:f>
      </x:c>
      <x:c r="B261" s="18">
        <x:f>IF(A261="","",Journal_Import!B261)</x:f>
      </x:c>
      <x:c r="C261" s="18">
        <x:f>IF(A261="","",Journal_Import!I261)</x:f>
      </x:c>
      <x:c r="D261" s="18">
        <x:f>IF(A261="","",Journal_Import!J261)</x:f>
      </x:c>
      <x:c r="E261" s="19">
        <x:f>IF(A261="","",Journal_Import!D261)</x:f>
      </x:c>
      <x:c r="F261" s="19">
        <x:f>IF(A261="","",Journal_Import!F261)</x:f>
      </x:c>
      <x:c r="G261" s="19">
        <x:f>IF(A261="","",Journal_Import!G261)</x:f>
      </x:c>
      <x:c r="H261" s="19">
        <x:f>IF(A261="","",Journal_Import!H261)</x:f>
      </x:c>
      <x:c r="I261" s="12">
        <x:f>IF(A261="","",Journal_Import!S261)</x:f>
      </x:c>
      <x:c r="J261" s="12">
        <x:f>IF(A261="","",Journal_Import!T261)</x:f>
      </x:c>
      <x:c r="K261" s="12">
        <x:f>IF(C261="","",IF(C261=C260,K260+I261-J261,IFERROR(INDEX(COA_Master!$N:$N,MATCH(C261,COA_Master!$A:$A,0)),0)+I261-J261))</x:f>
      </x:c>
      <x:c r="L261" s="19">
        <x:f>IF(A261="","",IF(IFERROR(INDEX(COA_Master!$G:$G,MATCH(C261,COA_Master!$A:$A,0)),"Debit")="Debit",IF(K261&gt;=0,"Debit","Credit"),IF(K261&gt;=0,"Credit","Debit")))</x:f>
      </x:c>
      <x:c r="M261" s="19">
        <x:f>IF(A261="","",Journal_Import!V261)</x:f>
      </x:c>
      <x:c r="N261" s="19">
        <x:f>IF(A261="","",Journal_Import!W261)</x:f>
      </x:c>
      <x:c r="O261" s="19">
        <x:f>IF(A261="","",Journal_Import!Z261)</x:f>
      </x:c>
    </x:row>
    <x:row r="262">
      <x:c r="A262" s="18">
        <x:f>IF(Journal_Import!A262="","",Journal_Import!A262)</x:f>
      </x:c>
      <x:c r="B262" s="18">
        <x:f>IF(A262="","",Journal_Import!B262)</x:f>
      </x:c>
      <x:c r="C262" s="18">
        <x:f>IF(A262="","",Journal_Import!I262)</x:f>
      </x:c>
      <x:c r="D262" s="18">
        <x:f>IF(A262="","",Journal_Import!J262)</x:f>
      </x:c>
      <x:c r="E262" s="19">
        <x:f>IF(A262="","",Journal_Import!D262)</x:f>
      </x:c>
      <x:c r="F262" s="19">
        <x:f>IF(A262="","",Journal_Import!F262)</x:f>
      </x:c>
      <x:c r="G262" s="19">
        <x:f>IF(A262="","",Journal_Import!G262)</x:f>
      </x:c>
      <x:c r="H262" s="19">
        <x:f>IF(A262="","",Journal_Import!H262)</x:f>
      </x:c>
      <x:c r="I262" s="12">
        <x:f>IF(A262="","",Journal_Import!S262)</x:f>
      </x:c>
      <x:c r="J262" s="12">
        <x:f>IF(A262="","",Journal_Import!T262)</x:f>
      </x:c>
      <x:c r="K262" s="12">
        <x:f>IF(C262="","",IF(C262=C261,K261+I262-J262,IFERROR(INDEX(COA_Master!$N:$N,MATCH(C262,COA_Master!$A:$A,0)),0)+I262-J262))</x:f>
      </x:c>
      <x:c r="L262" s="19">
        <x:f>IF(A262="","",IF(IFERROR(INDEX(COA_Master!$G:$G,MATCH(C262,COA_Master!$A:$A,0)),"Debit")="Debit",IF(K262&gt;=0,"Debit","Credit"),IF(K262&gt;=0,"Credit","Debit")))</x:f>
      </x:c>
      <x:c r="M262" s="19">
        <x:f>IF(A262="","",Journal_Import!V262)</x:f>
      </x:c>
      <x:c r="N262" s="19">
        <x:f>IF(A262="","",Journal_Import!W262)</x:f>
      </x:c>
      <x:c r="O262" s="19">
        <x:f>IF(A262="","",Journal_Import!Z262)</x:f>
      </x:c>
    </x:row>
    <x:row r="263">
      <x:c r="A263" s="18">
        <x:f>IF(Journal_Import!A263="","",Journal_Import!A263)</x:f>
      </x:c>
      <x:c r="B263" s="18">
        <x:f>IF(A263="","",Journal_Import!B263)</x:f>
      </x:c>
      <x:c r="C263" s="18">
        <x:f>IF(A263="","",Journal_Import!I263)</x:f>
      </x:c>
      <x:c r="D263" s="18">
        <x:f>IF(A263="","",Journal_Import!J263)</x:f>
      </x:c>
      <x:c r="E263" s="19">
        <x:f>IF(A263="","",Journal_Import!D263)</x:f>
      </x:c>
      <x:c r="F263" s="19">
        <x:f>IF(A263="","",Journal_Import!F263)</x:f>
      </x:c>
      <x:c r="G263" s="19">
        <x:f>IF(A263="","",Journal_Import!G263)</x:f>
      </x:c>
      <x:c r="H263" s="19">
        <x:f>IF(A263="","",Journal_Import!H263)</x:f>
      </x:c>
      <x:c r="I263" s="12">
        <x:f>IF(A263="","",Journal_Import!S263)</x:f>
      </x:c>
      <x:c r="J263" s="12">
        <x:f>IF(A263="","",Journal_Import!T263)</x:f>
      </x:c>
      <x:c r="K263" s="12">
        <x:f>IF(C263="","",IF(C263=C262,K262+I263-J263,IFERROR(INDEX(COA_Master!$N:$N,MATCH(C263,COA_Master!$A:$A,0)),0)+I263-J263))</x:f>
      </x:c>
      <x:c r="L263" s="19">
        <x:f>IF(A263="","",IF(IFERROR(INDEX(COA_Master!$G:$G,MATCH(C263,COA_Master!$A:$A,0)),"Debit")="Debit",IF(K263&gt;=0,"Debit","Credit"),IF(K263&gt;=0,"Credit","Debit")))</x:f>
      </x:c>
      <x:c r="M263" s="19">
        <x:f>IF(A263="","",Journal_Import!V263)</x:f>
      </x:c>
      <x:c r="N263" s="19">
        <x:f>IF(A263="","",Journal_Import!W263)</x:f>
      </x:c>
      <x:c r="O263" s="19">
        <x:f>IF(A263="","",Journal_Import!Z263)</x:f>
      </x:c>
    </x:row>
    <x:row r="264">
      <x:c r="A264" s="18">
        <x:f>IF(Journal_Import!A264="","",Journal_Import!A264)</x:f>
      </x:c>
      <x:c r="B264" s="18">
        <x:f>IF(A264="","",Journal_Import!B264)</x:f>
      </x:c>
      <x:c r="C264" s="18">
        <x:f>IF(A264="","",Journal_Import!I264)</x:f>
      </x:c>
      <x:c r="D264" s="18">
        <x:f>IF(A264="","",Journal_Import!J264)</x:f>
      </x:c>
      <x:c r="E264" s="19">
        <x:f>IF(A264="","",Journal_Import!D264)</x:f>
      </x:c>
      <x:c r="F264" s="19">
        <x:f>IF(A264="","",Journal_Import!F264)</x:f>
      </x:c>
      <x:c r="G264" s="19">
        <x:f>IF(A264="","",Journal_Import!G264)</x:f>
      </x:c>
      <x:c r="H264" s="19">
        <x:f>IF(A264="","",Journal_Import!H264)</x:f>
      </x:c>
      <x:c r="I264" s="12">
        <x:f>IF(A264="","",Journal_Import!S264)</x:f>
      </x:c>
      <x:c r="J264" s="12">
        <x:f>IF(A264="","",Journal_Import!T264)</x:f>
      </x:c>
      <x:c r="K264" s="12">
        <x:f>IF(C264="","",IF(C264=C263,K263+I264-J264,IFERROR(INDEX(COA_Master!$N:$N,MATCH(C264,COA_Master!$A:$A,0)),0)+I264-J264))</x:f>
      </x:c>
      <x:c r="L264" s="19">
        <x:f>IF(A264="","",IF(IFERROR(INDEX(COA_Master!$G:$G,MATCH(C264,COA_Master!$A:$A,0)),"Debit")="Debit",IF(K264&gt;=0,"Debit","Credit"),IF(K264&gt;=0,"Credit","Debit")))</x:f>
      </x:c>
      <x:c r="M264" s="19">
        <x:f>IF(A264="","",Journal_Import!V264)</x:f>
      </x:c>
      <x:c r="N264" s="19">
        <x:f>IF(A264="","",Journal_Import!W264)</x:f>
      </x:c>
      <x:c r="O264" s="19">
        <x:f>IF(A264="","",Journal_Import!Z264)</x:f>
      </x:c>
    </x:row>
    <x:row r="265">
      <x:c r="A265" s="18">
        <x:f>IF(Journal_Import!A265="","",Journal_Import!A265)</x:f>
      </x:c>
      <x:c r="B265" s="18">
        <x:f>IF(A265="","",Journal_Import!B265)</x:f>
      </x:c>
      <x:c r="C265" s="18">
        <x:f>IF(A265="","",Journal_Import!I265)</x:f>
      </x:c>
      <x:c r="D265" s="18">
        <x:f>IF(A265="","",Journal_Import!J265)</x:f>
      </x:c>
      <x:c r="E265" s="19">
        <x:f>IF(A265="","",Journal_Import!D265)</x:f>
      </x:c>
      <x:c r="F265" s="19">
        <x:f>IF(A265="","",Journal_Import!F265)</x:f>
      </x:c>
      <x:c r="G265" s="19">
        <x:f>IF(A265="","",Journal_Import!G265)</x:f>
      </x:c>
      <x:c r="H265" s="19">
        <x:f>IF(A265="","",Journal_Import!H265)</x:f>
      </x:c>
      <x:c r="I265" s="12">
        <x:f>IF(A265="","",Journal_Import!S265)</x:f>
      </x:c>
      <x:c r="J265" s="12">
        <x:f>IF(A265="","",Journal_Import!T265)</x:f>
      </x:c>
      <x:c r="K265" s="12">
        <x:f>IF(C265="","",IF(C265=C264,K264+I265-J265,IFERROR(INDEX(COA_Master!$N:$N,MATCH(C265,COA_Master!$A:$A,0)),0)+I265-J265))</x:f>
      </x:c>
      <x:c r="L265" s="19">
        <x:f>IF(A265="","",IF(IFERROR(INDEX(COA_Master!$G:$G,MATCH(C265,COA_Master!$A:$A,0)),"Debit")="Debit",IF(K265&gt;=0,"Debit","Credit"),IF(K265&gt;=0,"Credit","Debit")))</x:f>
      </x:c>
      <x:c r="M265" s="19">
        <x:f>IF(A265="","",Journal_Import!V265)</x:f>
      </x:c>
      <x:c r="N265" s="19">
        <x:f>IF(A265="","",Journal_Import!W265)</x:f>
      </x:c>
      <x:c r="O265" s="19">
        <x:f>IF(A265="","",Journal_Import!Z265)</x:f>
      </x:c>
    </x:row>
    <x:row r="266">
      <x:c r="A266" s="18">
        <x:f>IF(Journal_Import!A266="","",Journal_Import!A266)</x:f>
      </x:c>
      <x:c r="B266" s="18">
        <x:f>IF(A266="","",Journal_Import!B266)</x:f>
      </x:c>
      <x:c r="C266" s="18">
        <x:f>IF(A266="","",Journal_Import!I266)</x:f>
      </x:c>
      <x:c r="D266" s="18">
        <x:f>IF(A266="","",Journal_Import!J266)</x:f>
      </x:c>
      <x:c r="E266" s="19">
        <x:f>IF(A266="","",Journal_Import!D266)</x:f>
      </x:c>
      <x:c r="F266" s="19">
        <x:f>IF(A266="","",Journal_Import!F266)</x:f>
      </x:c>
      <x:c r="G266" s="19">
        <x:f>IF(A266="","",Journal_Import!G266)</x:f>
      </x:c>
      <x:c r="H266" s="19">
        <x:f>IF(A266="","",Journal_Import!H266)</x:f>
      </x:c>
      <x:c r="I266" s="12">
        <x:f>IF(A266="","",Journal_Import!S266)</x:f>
      </x:c>
      <x:c r="J266" s="12">
        <x:f>IF(A266="","",Journal_Import!T266)</x:f>
      </x:c>
      <x:c r="K266" s="12">
        <x:f>IF(C266="","",IF(C266=C265,K265+I266-J266,IFERROR(INDEX(COA_Master!$N:$N,MATCH(C266,COA_Master!$A:$A,0)),0)+I266-J266))</x:f>
      </x:c>
      <x:c r="L266" s="19">
        <x:f>IF(A266="","",IF(IFERROR(INDEX(COA_Master!$G:$G,MATCH(C266,COA_Master!$A:$A,0)),"Debit")="Debit",IF(K266&gt;=0,"Debit","Credit"),IF(K266&gt;=0,"Credit","Debit")))</x:f>
      </x:c>
      <x:c r="M266" s="19">
        <x:f>IF(A266="","",Journal_Import!V266)</x:f>
      </x:c>
      <x:c r="N266" s="19">
        <x:f>IF(A266="","",Journal_Import!W266)</x:f>
      </x:c>
      <x:c r="O266" s="19">
        <x:f>IF(A266="","",Journal_Import!Z266)</x:f>
      </x:c>
    </x:row>
    <x:row r="267">
      <x:c r="A267" s="18">
        <x:f>IF(Journal_Import!A267="","",Journal_Import!A267)</x:f>
      </x:c>
      <x:c r="B267" s="18">
        <x:f>IF(A267="","",Journal_Import!B267)</x:f>
      </x:c>
      <x:c r="C267" s="18">
        <x:f>IF(A267="","",Journal_Import!I267)</x:f>
      </x:c>
      <x:c r="D267" s="18">
        <x:f>IF(A267="","",Journal_Import!J267)</x:f>
      </x:c>
      <x:c r="E267" s="19">
        <x:f>IF(A267="","",Journal_Import!D267)</x:f>
      </x:c>
      <x:c r="F267" s="19">
        <x:f>IF(A267="","",Journal_Import!F267)</x:f>
      </x:c>
      <x:c r="G267" s="19">
        <x:f>IF(A267="","",Journal_Import!G267)</x:f>
      </x:c>
      <x:c r="H267" s="19">
        <x:f>IF(A267="","",Journal_Import!H267)</x:f>
      </x:c>
      <x:c r="I267" s="12">
        <x:f>IF(A267="","",Journal_Import!S267)</x:f>
      </x:c>
      <x:c r="J267" s="12">
        <x:f>IF(A267="","",Journal_Import!T267)</x:f>
      </x:c>
      <x:c r="K267" s="12">
        <x:f>IF(C267="","",IF(C267=C266,K266+I267-J267,IFERROR(INDEX(COA_Master!$N:$N,MATCH(C267,COA_Master!$A:$A,0)),0)+I267-J267))</x:f>
      </x:c>
      <x:c r="L267" s="19">
        <x:f>IF(A267="","",IF(IFERROR(INDEX(COA_Master!$G:$G,MATCH(C267,COA_Master!$A:$A,0)),"Debit")="Debit",IF(K267&gt;=0,"Debit","Credit"),IF(K267&gt;=0,"Credit","Debit")))</x:f>
      </x:c>
      <x:c r="M267" s="19">
        <x:f>IF(A267="","",Journal_Import!V267)</x:f>
      </x:c>
      <x:c r="N267" s="19">
        <x:f>IF(A267="","",Journal_Import!W267)</x:f>
      </x:c>
      <x:c r="O267" s="19">
        <x:f>IF(A267="","",Journal_Import!Z267)</x:f>
      </x:c>
    </x:row>
    <x:row r="268">
      <x:c r="A268" s="18">
        <x:f>IF(Journal_Import!A268="","",Journal_Import!A268)</x:f>
      </x:c>
      <x:c r="B268" s="18">
        <x:f>IF(A268="","",Journal_Import!B268)</x:f>
      </x:c>
      <x:c r="C268" s="18">
        <x:f>IF(A268="","",Journal_Import!I268)</x:f>
      </x:c>
      <x:c r="D268" s="18">
        <x:f>IF(A268="","",Journal_Import!J268)</x:f>
      </x:c>
      <x:c r="E268" s="19">
        <x:f>IF(A268="","",Journal_Import!D268)</x:f>
      </x:c>
      <x:c r="F268" s="19">
        <x:f>IF(A268="","",Journal_Import!F268)</x:f>
      </x:c>
      <x:c r="G268" s="19">
        <x:f>IF(A268="","",Journal_Import!G268)</x:f>
      </x:c>
      <x:c r="H268" s="19">
        <x:f>IF(A268="","",Journal_Import!H268)</x:f>
      </x:c>
      <x:c r="I268" s="12">
        <x:f>IF(A268="","",Journal_Import!S268)</x:f>
      </x:c>
      <x:c r="J268" s="12">
        <x:f>IF(A268="","",Journal_Import!T268)</x:f>
      </x:c>
      <x:c r="K268" s="12">
        <x:f>IF(C268="","",IF(C268=C267,K267+I268-J268,IFERROR(INDEX(COA_Master!$N:$N,MATCH(C268,COA_Master!$A:$A,0)),0)+I268-J268))</x:f>
      </x:c>
      <x:c r="L268" s="19">
        <x:f>IF(A268="","",IF(IFERROR(INDEX(COA_Master!$G:$G,MATCH(C268,COA_Master!$A:$A,0)),"Debit")="Debit",IF(K268&gt;=0,"Debit","Credit"),IF(K268&gt;=0,"Credit","Debit")))</x:f>
      </x:c>
      <x:c r="M268" s="19">
        <x:f>IF(A268="","",Journal_Import!V268)</x:f>
      </x:c>
      <x:c r="N268" s="19">
        <x:f>IF(A268="","",Journal_Import!W268)</x:f>
      </x:c>
      <x:c r="O268" s="19">
        <x:f>IF(A268="","",Journal_Import!Z268)</x:f>
      </x:c>
    </x:row>
    <x:row r="269">
      <x:c r="A269" s="18">
        <x:f>IF(Journal_Import!A269="","",Journal_Import!A269)</x:f>
      </x:c>
      <x:c r="B269" s="18">
        <x:f>IF(A269="","",Journal_Import!B269)</x:f>
      </x:c>
      <x:c r="C269" s="18">
        <x:f>IF(A269="","",Journal_Import!I269)</x:f>
      </x:c>
      <x:c r="D269" s="18">
        <x:f>IF(A269="","",Journal_Import!J269)</x:f>
      </x:c>
      <x:c r="E269" s="19">
        <x:f>IF(A269="","",Journal_Import!D269)</x:f>
      </x:c>
      <x:c r="F269" s="19">
        <x:f>IF(A269="","",Journal_Import!F269)</x:f>
      </x:c>
      <x:c r="G269" s="19">
        <x:f>IF(A269="","",Journal_Import!G269)</x:f>
      </x:c>
      <x:c r="H269" s="19">
        <x:f>IF(A269="","",Journal_Import!H269)</x:f>
      </x:c>
      <x:c r="I269" s="12">
        <x:f>IF(A269="","",Journal_Import!S269)</x:f>
      </x:c>
      <x:c r="J269" s="12">
        <x:f>IF(A269="","",Journal_Import!T269)</x:f>
      </x:c>
      <x:c r="K269" s="12">
        <x:f>IF(C269="","",IF(C269=C268,K268+I269-J269,IFERROR(INDEX(COA_Master!$N:$N,MATCH(C269,COA_Master!$A:$A,0)),0)+I269-J269))</x:f>
      </x:c>
      <x:c r="L269" s="19">
        <x:f>IF(A269="","",IF(IFERROR(INDEX(COA_Master!$G:$G,MATCH(C269,COA_Master!$A:$A,0)),"Debit")="Debit",IF(K269&gt;=0,"Debit","Credit"),IF(K269&gt;=0,"Credit","Debit")))</x:f>
      </x:c>
      <x:c r="M269" s="19">
        <x:f>IF(A269="","",Journal_Import!V269)</x:f>
      </x:c>
      <x:c r="N269" s="19">
        <x:f>IF(A269="","",Journal_Import!W269)</x:f>
      </x:c>
      <x:c r="O269" s="19">
        <x:f>IF(A269="","",Journal_Import!Z269)</x:f>
      </x:c>
    </x:row>
    <x:row r="270">
      <x:c r="A270" s="18">
        <x:f>IF(Journal_Import!A270="","",Journal_Import!A270)</x:f>
      </x:c>
      <x:c r="B270" s="18">
        <x:f>IF(A270="","",Journal_Import!B270)</x:f>
      </x:c>
      <x:c r="C270" s="18">
        <x:f>IF(A270="","",Journal_Import!I270)</x:f>
      </x:c>
      <x:c r="D270" s="18">
        <x:f>IF(A270="","",Journal_Import!J270)</x:f>
      </x:c>
      <x:c r="E270" s="19">
        <x:f>IF(A270="","",Journal_Import!D270)</x:f>
      </x:c>
      <x:c r="F270" s="19">
        <x:f>IF(A270="","",Journal_Import!F270)</x:f>
      </x:c>
      <x:c r="G270" s="19">
        <x:f>IF(A270="","",Journal_Import!G270)</x:f>
      </x:c>
      <x:c r="H270" s="19">
        <x:f>IF(A270="","",Journal_Import!H270)</x:f>
      </x:c>
      <x:c r="I270" s="12">
        <x:f>IF(A270="","",Journal_Import!S270)</x:f>
      </x:c>
      <x:c r="J270" s="12">
        <x:f>IF(A270="","",Journal_Import!T270)</x:f>
      </x:c>
      <x:c r="K270" s="12">
        <x:f>IF(C270="","",IF(C270=C269,K269+I270-J270,IFERROR(INDEX(COA_Master!$N:$N,MATCH(C270,COA_Master!$A:$A,0)),0)+I270-J270))</x:f>
      </x:c>
      <x:c r="L270" s="19">
        <x:f>IF(A270="","",IF(IFERROR(INDEX(COA_Master!$G:$G,MATCH(C270,COA_Master!$A:$A,0)),"Debit")="Debit",IF(K270&gt;=0,"Debit","Credit"),IF(K270&gt;=0,"Credit","Debit")))</x:f>
      </x:c>
      <x:c r="M270" s="19">
        <x:f>IF(A270="","",Journal_Import!V270)</x:f>
      </x:c>
      <x:c r="N270" s="19">
        <x:f>IF(A270="","",Journal_Import!W270)</x:f>
      </x:c>
      <x:c r="O270" s="19">
        <x:f>IF(A270="","",Journal_Import!Z270)</x:f>
      </x:c>
    </x:row>
    <x:row r="271">
      <x:c r="A271" s="18">
        <x:f>IF(Journal_Import!A271="","",Journal_Import!A271)</x:f>
      </x:c>
      <x:c r="B271" s="18">
        <x:f>IF(A271="","",Journal_Import!B271)</x:f>
      </x:c>
      <x:c r="C271" s="18">
        <x:f>IF(A271="","",Journal_Import!I271)</x:f>
      </x:c>
      <x:c r="D271" s="18">
        <x:f>IF(A271="","",Journal_Import!J271)</x:f>
      </x:c>
      <x:c r="E271" s="19">
        <x:f>IF(A271="","",Journal_Import!D271)</x:f>
      </x:c>
      <x:c r="F271" s="19">
        <x:f>IF(A271="","",Journal_Import!F271)</x:f>
      </x:c>
      <x:c r="G271" s="19">
        <x:f>IF(A271="","",Journal_Import!G271)</x:f>
      </x:c>
      <x:c r="H271" s="19">
        <x:f>IF(A271="","",Journal_Import!H271)</x:f>
      </x:c>
      <x:c r="I271" s="12">
        <x:f>IF(A271="","",Journal_Import!S271)</x:f>
      </x:c>
      <x:c r="J271" s="12">
        <x:f>IF(A271="","",Journal_Import!T271)</x:f>
      </x:c>
      <x:c r="K271" s="12">
        <x:f>IF(C271="","",IF(C271=C270,K270+I271-J271,IFERROR(INDEX(COA_Master!$N:$N,MATCH(C271,COA_Master!$A:$A,0)),0)+I271-J271))</x:f>
      </x:c>
      <x:c r="L271" s="19">
        <x:f>IF(A271="","",IF(IFERROR(INDEX(COA_Master!$G:$G,MATCH(C271,COA_Master!$A:$A,0)),"Debit")="Debit",IF(K271&gt;=0,"Debit","Credit"),IF(K271&gt;=0,"Credit","Debit")))</x:f>
      </x:c>
      <x:c r="M271" s="19">
        <x:f>IF(A271="","",Journal_Import!V271)</x:f>
      </x:c>
      <x:c r="N271" s="19">
        <x:f>IF(A271="","",Journal_Import!W271)</x:f>
      </x:c>
      <x:c r="O271" s="19">
        <x:f>IF(A271="","",Journal_Import!Z271)</x:f>
      </x:c>
    </x:row>
    <x:row r="272">
      <x:c r="A272" s="18">
        <x:f>IF(Journal_Import!A272="","",Journal_Import!A272)</x:f>
      </x:c>
      <x:c r="B272" s="18">
        <x:f>IF(A272="","",Journal_Import!B272)</x:f>
      </x:c>
      <x:c r="C272" s="18">
        <x:f>IF(A272="","",Journal_Import!I272)</x:f>
      </x:c>
      <x:c r="D272" s="18">
        <x:f>IF(A272="","",Journal_Import!J272)</x:f>
      </x:c>
      <x:c r="E272" s="19">
        <x:f>IF(A272="","",Journal_Import!D272)</x:f>
      </x:c>
      <x:c r="F272" s="19">
        <x:f>IF(A272="","",Journal_Import!F272)</x:f>
      </x:c>
      <x:c r="G272" s="19">
        <x:f>IF(A272="","",Journal_Import!G272)</x:f>
      </x:c>
      <x:c r="H272" s="19">
        <x:f>IF(A272="","",Journal_Import!H272)</x:f>
      </x:c>
      <x:c r="I272" s="12">
        <x:f>IF(A272="","",Journal_Import!S272)</x:f>
      </x:c>
      <x:c r="J272" s="12">
        <x:f>IF(A272="","",Journal_Import!T272)</x:f>
      </x:c>
      <x:c r="K272" s="12">
        <x:f>IF(C272="","",IF(C272=C271,K271+I272-J272,IFERROR(INDEX(COA_Master!$N:$N,MATCH(C272,COA_Master!$A:$A,0)),0)+I272-J272))</x:f>
      </x:c>
      <x:c r="L272" s="19">
        <x:f>IF(A272="","",IF(IFERROR(INDEX(COA_Master!$G:$G,MATCH(C272,COA_Master!$A:$A,0)),"Debit")="Debit",IF(K272&gt;=0,"Debit","Credit"),IF(K272&gt;=0,"Credit","Debit")))</x:f>
      </x:c>
      <x:c r="M272" s="19">
        <x:f>IF(A272="","",Journal_Import!V272)</x:f>
      </x:c>
      <x:c r="N272" s="19">
        <x:f>IF(A272="","",Journal_Import!W272)</x:f>
      </x:c>
      <x:c r="O272" s="19">
        <x:f>IF(A272="","",Journal_Import!Z272)</x:f>
      </x:c>
    </x:row>
    <x:row r="273">
      <x:c r="A273" s="18">
        <x:f>IF(Journal_Import!A273="","",Journal_Import!A273)</x:f>
      </x:c>
      <x:c r="B273" s="18">
        <x:f>IF(A273="","",Journal_Import!B273)</x:f>
      </x:c>
      <x:c r="C273" s="18">
        <x:f>IF(A273="","",Journal_Import!I273)</x:f>
      </x:c>
      <x:c r="D273" s="18">
        <x:f>IF(A273="","",Journal_Import!J273)</x:f>
      </x:c>
      <x:c r="E273" s="19">
        <x:f>IF(A273="","",Journal_Import!D273)</x:f>
      </x:c>
      <x:c r="F273" s="19">
        <x:f>IF(A273="","",Journal_Import!F273)</x:f>
      </x:c>
      <x:c r="G273" s="19">
        <x:f>IF(A273="","",Journal_Import!G273)</x:f>
      </x:c>
      <x:c r="H273" s="19">
        <x:f>IF(A273="","",Journal_Import!H273)</x:f>
      </x:c>
      <x:c r="I273" s="12">
        <x:f>IF(A273="","",Journal_Import!S273)</x:f>
      </x:c>
      <x:c r="J273" s="12">
        <x:f>IF(A273="","",Journal_Import!T273)</x:f>
      </x:c>
      <x:c r="K273" s="12">
        <x:f>IF(C273="","",IF(C273=C272,K272+I273-J273,IFERROR(INDEX(COA_Master!$N:$N,MATCH(C273,COA_Master!$A:$A,0)),0)+I273-J273))</x:f>
      </x:c>
      <x:c r="L273" s="19">
        <x:f>IF(A273="","",IF(IFERROR(INDEX(COA_Master!$G:$G,MATCH(C273,COA_Master!$A:$A,0)),"Debit")="Debit",IF(K273&gt;=0,"Debit","Credit"),IF(K273&gt;=0,"Credit","Debit")))</x:f>
      </x:c>
      <x:c r="M273" s="19">
        <x:f>IF(A273="","",Journal_Import!V273)</x:f>
      </x:c>
      <x:c r="N273" s="19">
        <x:f>IF(A273="","",Journal_Import!W273)</x:f>
      </x:c>
      <x:c r="O273" s="19">
        <x:f>IF(A273="","",Journal_Import!Z273)</x:f>
      </x:c>
    </x:row>
    <x:row r="274">
      <x:c r="A274" s="18">
        <x:f>IF(Journal_Import!A274="","",Journal_Import!A274)</x:f>
      </x:c>
      <x:c r="B274" s="18">
        <x:f>IF(A274="","",Journal_Import!B274)</x:f>
      </x:c>
      <x:c r="C274" s="18">
        <x:f>IF(A274="","",Journal_Import!I274)</x:f>
      </x:c>
      <x:c r="D274" s="18">
        <x:f>IF(A274="","",Journal_Import!J274)</x:f>
      </x:c>
      <x:c r="E274" s="19">
        <x:f>IF(A274="","",Journal_Import!D274)</x:f>
      </x:c>
      <x:c r="F274" s="19">
        <x:f>IF(A274="","",Journal_Import!F274)</x:f>
      </x:c>
      <x:c r="G274" s="19">
        <x:f>IF(A274="","",Journal_Import!G274)</x:f>
      </x:c>
      <x:c r="H274" s="19">
        <x:f>IF(A274="","",Journal_Import!H274)</x:f>
      </x:c>
      <x:c r="I274" s="12">
        <x:f>IF(A274="","",Journal_Import!S274)</x:f>
      </x:c>
      <x:c r="J274" s="12">
        <x:f>IF(A274="","",Journal_Import!T274)</x:f>
      </x:c>
      <x:c r="K274" s="12">
        <x:f>IF(C274="","",IF(C274=C273,K273+I274-J274,IFERROR(INDEX(COA_Master!$N:$N,MATCH(C274,COA_Master!$A:$A,0)),0)+I274-J274))</x:f>
      </x:c>
      <x:c r="L274" s="19">
        <x:f>IF(A274="","",IF(IFERROR(INDEX(COA_Master!$G:$G,MATCH(C274,COA_Master!$A:$A,0)),"Debit")="Debit",IF(K274&gt;=0,"Debit","Credit"),IF(K274&gt;=0,"Credit","Debit")))</x:f>
      </x:c>
      <x:c r="M274" s="19">
        <x:f>IF(A274="","",Journal_Import!V274)</x:f>
      </x:c>
      <x:c r="N274" s="19">
        <x:f>IF(A274="","",Journal_Import!W274)</x:f>
      </x:c>
      <x:c r="O274" s="19">
        <x:f>IF(A274="","",Journal_Import!Z274)</x:f>
      </x:c>
    </x:row>
    <x:row r="275">
      <x:c r="A275" s="18">
        <x:f>IF(Journal_Import!A275="","",Journal_Import!A275)</x:f>
      </x:c>
      <x:c r="B275" s="18">
        <x:f>IF(A275="","",Journal_Import!B275)</x:f>
      </x:c>
      <x:c r="C275" s="18">
        <x:f>IF(A275="","",Journal_Import!I275)</x:f>
      </x:c>
      <x:c r="D275" s="18">
        <x:f>IF(A275="","",Journal_Import!J275)</x:f>
      </x:c>
      <x:c r="E275" s="19">
        <x:f>IF(A275="","",Journal_Import!D275)</x:f>
      </x:c>
      <x:c r="F275" s="19">
        <x:f>IF(A275="","",Journal_Import!F275)</x:f>
      </x:c>
      <x:c r="G275" s="19">
        <x:f>IF(A275="","",Journal_Import!G275)</x:f>
      </x:c>
      <x:c r="H275" s="19">
        <x:f>IF(A275="","",Journal_Import!H275)</x:f>
      </x:c>
      <x:c r="I275" s="12">
        <x:f>IF(A275="","",Journal_Import!S275)</x:f>
      </x:c>
      <x:c r="J275" s="12">
        <x:f>IF(A275="","",Journal_Import!T275)</x:f>
      </x:c>
      <x:c r="K275" s="12">
        <x:f>IF(C275="","",IF(C275=C274,K274+I275-J275,IFERROR(INDEX(COA_Master!$N:$N,MATCH(C275,COA_Master!$A:$A,0)),0)+I275-J275))</x:f>
      </x:c>
      <x:c r="L275" s="19">
        <x:f>IF(A275="","",IF(IFERROR(INDEX(COA_Master!$G:$G,MATCH(C275,COA_Master!$A:$A,0)),"Debit")="Debit",IF(K275&gt;=0,"Debit","Credit"),IF(K275&gt;=0,"Credit","Debit")))</x:f>
      </x:c>
      <x:c r="M275" s="19">
        <x:f>IF(A275="","",Journal_Import!V275)</x:f>
      </x:c>
      <x:c r="N275" s="19">
        <x:f>IF(A275="","",Journal_Import!W275)</x:f>
      </x:c>
      <x:c r="O275" s="19">
        <x:f>IF(A275="","",Journal_Import!Z275)</x:f>
      </x:c>
    </x:row>
    <x:row r="276">
      <x:c r="A276" s="18">
        <x:f>IF(Journal_Import!A276="","",Journal_Import!A276)</x:f>
      </x:c>
      <x:c r="B276" s="18">
        <x:f>IF(A276="","",Journal_Import!B276)</x:f>
      </x:c>
      <x:c r="C276" s="18">
        <x:f>IF(A276="","",Journal_Import!I276)</x:f>
      </x:c>
      <x:c r="D276" s="18">
        <x:f>IF(A276="","",Journal_Import!J276)</x:f>
      </x:c>
      <x:c r="E276" s="19">
        <x:f>IF(A276="","",Journal_Import!D276)</x:f>
      </x:c>
      <x:c r="F276" s="19">
        <x:f>IF(A276="","",Journal_Import!F276)</x:f>
      </x:c>
      <x:c r="G276" s="19">
        <x:f>IF(A276="","",Journal_Import!G276)</x:f>
      </x:c>
      <x:c r="H276" s="19">
        <x:f>IF(A276="","",Journal_Import!H276)</x:f>
      </x:c>
      <x:c r="I276" s="12">
        <x:f>IF(A276="","",Journal_Import!S276)</x:f>
      </x:c>
      <x:c r="J276" s="12">
        <x:f>IF(A276="","",Journal_Import!T276)</x:f>
      </x:c>
      <x:c r="K276" s="12">
        <x:f>IF(C276="","",IF(C276=C275,K275+I276-J276,IFERROR(INDEX(COA_Master!$N:$N,MATCH(C276,COA_Master!$A:$A,0)),0)+I276-J276))</x:f>
      </x:c>
      <x:c r="L276" s="19">
        <x:f>IF(A276="","",IF(IFERROR(INDEX(COA_Master!$G:$G,MATCH(C276,COA_Master!$A:$A,0)),"Debit")="Debit",IF(K276&gt;=0,"Debit","Credit"),IF(K276&gt;=0,"Credit","Debit")))</x:f>
      </x:c>
      <x:c r="M276" s="19">
        <x:f>IF(A276="","",Journal_Import!V276)</x:f>
      </x:c>
      <x:c r="N276" s="19">
        <x:f>IF(A276="","",Journal_Import!W276)</x:f>
      </x:c>
      <x:c r="O276" s="19">
        <x:f>IF(A276="","",Journal_Import!Z276)</x:f>
      </x:c>
    </x:row>
    <x:row r="277">
      <x:c r="A277" s="18">
        <x:f>IF(Journal_Import!A277="","",Journal_Import!A277)</x:f>
      </x:c>
      <x:c r="B277" s="18">
        <x:f>IF(A277="","",Journal_Import!B277)</x:f>
      </x:c>
      <x:c r="C277" s="18">
        <x:f>IF(A277="","",Journal_Import!I277)</x:f>
      </x:c>
      <x:c r="D277" s="18">
        <x:f>IF(A277="","",Journal_Import!J277)</x:f>
      </x:c>
      <x:c r="E277" s="19">
        <x:f>IF(A277="","",Journal_Import!D277)</x:f>
      </x:c>
      <x:c r="F277" s="19">
        <x:f>IF(A277="","",Journal_Import!F277)</x:f>
      </x:c>
      <x:c r="G277" s="19">
        <x:f>IF(A277="","",Journal_Import!G277)</x:f>
      </x:c>
      <x:c r="H277" s="19">
        <x:f>IF(A277="","",Journal_Import!H277)</x:f>
      </x:c>
      <x:c r="I277" s="12">
        <x:f>IF(A277="","",Journal_Import!S277)</x:f>
      </x:c>
      <x:c r="J277" s="12">
        <x:f>IF(A277="","",Journal_Import!T277)</x:f>
      </x:c>
      <x:c r="K277" s="12">
        <x:f>IF(C277="","",IF(C277=C276,K276+I277-J277,IFERROR(INDEX(COA_Master!$N:$N,MATCH(C277,COA_Master!$A:$A,0)),0)+I277-J277))</x:f>
      </x:c>
      <x:c r="L277" s="19">
        <x:f>IF(A277="","",IF(IFERROR(INDEX(COA_Master!$G:$G,MATCH(C277,COA_Master!$A:$A,0)),"Debit")="Debit",IF(K277&gt;=0,"Debit","Credit"),IF(K277&gt;=0,"Credit","Debit")))</x:f>
      </x:c>
      <x:c r="M277" s="19">
        <x:f>IF(A277="","",Journal_Import!V277)</x:f>
      </x:c>
      <x:c r="N277" s="19">
        <x:f>IF(A277="","",Journal_Import!W277)</x:f>
      </x:c>
      <x:c r="O277" s="19">
        <x:f>IF(A277="","",Journal_Import!Z277)</x:f>
      </x:c>
    </x:row>
    <x:row r="278">
      <x:c r="A278" s="18">
        <x:f>IF(Journal_Import!A278="","",Journal_Import!A278)</x:f>
      </x:c>
      <x:c r="B278" s="18">
        <x:f>IF(A278="","",Journal_Import!B278)</x:f>
      </x:c>
      <x:c r="C278" s="18">
        <x:f>IF(A278="","",Journal_Import!I278)</x:f>
      </x:c>
      <x:c r="D278" s="18">
        <x:f>IF(A278="","",Journal_Import!J278)</x:f>
      </x:c>
      <x:c r="E278" s="19">
        <x:f>IF(A278="","",Journal_Import!D278)</x:f>
      </x:c>
      <x:c r="F278" s="19">
        <x:f>IF(A278="","",Journal_Import!F278)</x:f>
      </x:c>
      <x:c r="G278" s="19">
        <x:f>IF(A278="","",Journal_Import!G278)</x:f>
      </x:c>
      <x:c r="H278" s="19">
        <x:f>IF(A278="","",Journal_Import!H278)</x:f>
      </x:c>
      <x:c r="I278" s="12">
        <x:f>IF(A278="","",Journal_Import!S278)</x:f>
      </x:c>
      <x:c r="J278" s="12">
        <x:f>IF(A278="","",Journal_Import!T278)</x:f>
      </x:c>
      <x:c r="K278" s="12">
        <x:f>IF(C278="","",IF(C278=C277,K277+I278-J278,IFERROR(INDEX(COA_Master!$N:$N,MATCH(C278,COA_Master!$A:$A,0)),0)+I278-J278))</x:f>
      </x:c>
      <x:c r="L278" s="19">
        <x:f>IF(A278="","",IF(IFERROR(INDEX(COA_Master!$G:$G,MATCH(C278,COA_Master!$A:$A,0)),"Debit")="Debit",IF(K278&gt;=0,"Debit","Credit"),IF(K278&gt;=0,"Credit","Debit")))</x:f>
      </x:c>
      <x:c r="M278" s="19">
        <x:f>IF(A278="","",Journal_Import!V278)</x:f>
      </x:c>
      <x:c r="N278" s="19">
        <x:f>IF(A278="","",Journal_Import!W278)</x:f>
      </x:c>
      <x:c r="O278" s="19">
        <x:f>IF(A278="","",Journal_Import!Z278)</x:f>
      </x:c>
    </x:row>
    <x:row r="279">
      <x:c r="A279" s="18">
        <x:f>IF(Journal_Import!A279="","",Journal_Import!A279)</x:f>
      </x:c>
      <x:c r="B279" s="18">
        <x:f>IF(A279="","",Journal_Import!B279)</x:f>
      </x:c>
      <x:c r="C279" s="18">
        <x:f>IF(A279="","",Journal_Import!I279)</x:f>
      </x:c>
      <x:c r="D279" s="18">
        <x:f>IF(A279="","",Journal_Import!J279)</x:f>
      </x:c>
      <x:c r="E279" s="19">
        <x:f>IF(A279="","",Journal_Import!D279)</x:f>
      </x:c>
      <x:c r="F279" s="19">
        <x:f>IF(A279="","",Journal_Import!F279)</x:f>
      </x:c>
      <x:c r="G279" s="19">
        <x:f>IF(A279="","",Journal_Import!G279)</x:f>
      </x:c>
      <x:c r="H279" s="19">
        <x:f>IF(A279="","",Journal_Import!H279)</x:f>
      </x:c>
      <x:c r="I279" s="12">
        <x:f>IF(A279="","",Journal_Import!S279)</x:f>
      </x:c>
      <x:c r="J279" s="12">
        <x:f>IF(A279="","",Journal_Import!T279)</x:f>
      </x:c>
      <x:c r="K279" s="12">
        <x:f>IF(C279="","",IF(C279=C278,K278+I279-J279,IFERROR(INDEX(COA_Master!$N:$N,MATCH(C279,COA_Master!$A:$A,0)),0)+I279-J279))</x:f>
      </x:c>
      <x:c r="L279" s="19">
        <x:f>IF(A279="","",IF(IFERROR(INDEX(COA_Master!$G:$G,MATCH(C279,COA_Master!$A:$A,0)),"Debit")="Debit",IF(K279&gt;=0,"Debit","Credit"),IF(K279&gt;=0,"Credit","Debit")))</x:f>
      </x:c>
      <x:c r="M279" s="19">
        <x:f>IF(A279="","",Journal_Import!V279)</x:f>
      </x:c>
      <x:c r="N279" s="19">
        <x:f>IF(A279="","",Journal_Import!W279)</x:f>
      </x:c>
      <x:c r="O279" s="19">
        <x:f>IF(A279="","",Journal_Import!Z279)</x:f>
      </x:c>
    </x:row>
    <x:row r="280">
      <x:c r="A280" s="18">
        <x:f>IF(Journal_Import!A280="","",Journal_Import!A280)</x:f>
      </x:c>
      <x:c r="B280" s="18">
        <x:f>IF(A280="","",Journal_Import!B280)</x:f>
      </x:c>
      <x:c r="C280" s="18">
        <x:f>IF(A280="","",Journal_Import!I280)</x:f>
      </x:c>
      <x:c r="D280" s="18">
        <x:f>IF(A280="","",Journal_Import!J280)</x:f>
      </x:c>
      <x:c r="E280" s="19">
        <x:f>IF(A280="","",Journal_Import!D280)</x:f>
      </x:c>
      <x:c r="F280" s="19">
        <x:f>IF(A280="","",Journal_Import!F280)</x:f>
      </x:c>
      <x:c r="G280" s="19">
        <x:f>IF(A280="","",Journal_Import!G280)</x:f>
      </x:c>
      <x:c r="H280" s="19">
        <x:f>IF(A280="","",Journal_Import!H280)</x:f>
      </x:c>
      <x:c r="I280" s="12">
        <x:f>IF(A280="","",Journal_Import!S280)</x:f>
      </x:c>
      <x:c r="J280" s="12">
        <x:f>IF(A280="","",Journal_Import!T280)</x:f>
      </x:c>
      <x:c r="K280" s="12">
        <x:f>IF(C280="","",IF(C280=C279,K279+I280-J280,IFERROR(INDEX(COA_Master!$N:$N,MATCH(C280,COA_Master!$A:$A,0)),0)+I280-J280))</x:f>
      </x:c>
      <x:c r="L280" s="19">
        <x:f>IF(A280="","",IF(IFERROR(INDEX(COA_Master!$G:$G,MATCH(C280,COA_Master!$A:$A,0)),"Debit")="Debit",IF(K280&gt;=0,"Debit","Credit"),IF(K280&gt;=0,"Credit","Debit")))</x:f>
      </x:c>
      <x:c r="M280" s="19">
        <x:f>IF(A280="","",Journal_Import!V280)</x:f>
      </x:c>
      <x:c r="N280" s="19">
        <x:f>IF(A280="","",Journal_Import!W280)</x:f>
      </x:c>
      <x:c r="O280" s="19">
        <x:f>IF(A280="","",Journal_Import!Z280)</x:f>
      </x:c>
    </x:row>
    <x:row r="281">
      <x:c r="A281" s="18">
        <x:f>IF(Journal_Import!A281="","",Journal_Import!A281)</x:f>
      </x:c>
      <x:c r="B281" s="18">
        <x:f>IF(A281="","",Journal_Import!B281)</x:f>
      </x:c>
      <x:c r="C281" s="18">
        <x:f>IF(A281="","",Journal_Import!I281)</x:f>
      </x:c>
      <x:c r="D281" s="18">
        <x:f>IF(A281="","",Journal_Import!J281)</x:f>
      </x:c>
      <x:c r="E281" s="19">
        <x:f>IF(A281="","",Journal_Import!D281)</x:f>
      </x:c>
      <x:c r="F281" s="19">
        <x:f>IF(A281="","",Journal_Import!F281)</x:f>
      </x:c>
      <x:c r="G281" s="19">
        <x:f>IF(A281="","",Journal_Import!G281)</x:f>
      </x:c>
      <x:c r="H281" s="19">
        <x:f>IF(A281="","",Journal_Import!H281)</x:f>
      </x:c>
      <x:c r="I281" s="12">
        <x:f>IF(A281="","",Journal_Import!S281)</x:f>
      </x:c>
      <x:c r="J281" s="12">
        <x:f>IF(A281="","",Journal_Import!T281)</x:f>
      </x:c>
      <x:c r="K281" s="12">
        <x:f>IF(C281="","",IF(C281=C280,K280+I281-J281,IFERROR(INDEX(COA_Master!$N:$N,MATCH(C281,COA_Master!$A:$A,0)),0)+I281-J281))</x:f>
      </x:c>
      <x:c r="L281" s="19">
        <x:f>IF(A281="","",IF(IFERROR(INDEX(COA_Master!$G:$G,MATCH(C281,COA_Master!$A:$A,0)),"Debit")="Debit",IF(K281&gt;=0,"Debit","Credit"),IF(K281&gt;=0,"Credit","Debit")))</x:f>
      </x:c>
      <x:c r="M281" s="19">
        <x:f>IF(A281="","",Journal_Import!V281)</x:f>
      </x:c>
      <x:c r="N281" s="19">
        <x:f>IF(A281="","",Journal_Import!W281)</x:f>
      </x:c>
      <x:c r="O281" s="19">
        <x:f>IF(A281="","",Journal_Import!Z281)</x:f>
      </x:c>
    </x:row>
    <x:row r="282">
      <x:c r="A282" s="18">
        <x:f>IF(Journal_Import!A282="","",Journal_Import!A282)</x:f>
      </x:c>
      <x:c r="B282" s="18">
        <x:f>IF(A282="","",Journal_Import!B282)</x:f>
      </x:c>
      <x:c r="C282" s="18">
        <x:f>IF(A282="","",Journal_Import!I282)</x:f>
      </x:c>
      <x:c r="D282" s="18">
        <x:f>IF(A282="","",Journal_Import!J282)</x:f>
      </x:c>
      <x:c r="E282" s="19">
        <x:f>IF(A282="","",Journal_Import!D282)</x:f>
      </x:c>
      <x:c r="F282" s="19">
        <x:f>IF(A282="","",Journal_Import!F282)</x:f>
      </x:c>
      <x:c r="G282" s="19">
        <x:f>IF(A282="","",Journal_Import!G282)</x:f>
      </x:c>
      <x:c r="H282" s="19">
        <x:f>IF(A282="","",Journal_Import!H282)</x:f>
      </x:c>
      <x:c r="I282" s="12">
        <x:f>IF(A282="","",Journal_Import!S282)</x:f>
      </x:c>
      <x:c r="J282" s="12">
        <x:f>IF(A282="","",Journal_Import!T282)</x:f>
      </x:c>
      <x:c r="K282" s="12">
        <x:f>IF(C282="","",IF(C282=C281,K281+I282-J282,IFERROR(INDEX(COA_Master!$N:$N,MATCH(C282,COA_Master!$A:$A,0)),0)+I282-J282))</x:f>
      </x:c>
      <x:c r="L282" s="19">
        <x:f>IF(A282="","",IF(IFERROR(INDEX(COA_Master!$G:$G,MATCH(C282,COA_Master!$A:$A,0)),"Debit")="Debit",IF(K282&gt;=0,"Debit","Credit"),IF(K282&gt;=0,"Credit","Debit")))</x:f>
      </x:c>
      <x:c r="M282" s="19">
        <x:f>IF(A282="","",Journal_Import!V282)</x:f>
      </x:c>
      <x:c r="N282" s="19">
        <x:f>IF(A282="","",Journal_Import!W282)</x:f>
      </x:c>
      <x:c r="O282" s="19">
        <x:f>IF(A282="","",Journal_Import!Z282)</x:f>
      </x:c>
    </x:row>
    <x:row r="283">
      <x:c r="A283" s="18">
        <x:f>IF(Journal_Import!A283="","",Journal_Import!A283)</x:f>
      </x:c>
      <x:c r="B283" s="18">
        <x:f>IF(A283="","",Journal_Import!B283)</x:f>
      </x:c>
      <x:c r="C283" s="18">
        <x:f>IF(A283="","",Journal_Import!I283)</x:f>
      </x:c>
      <x:c r="D283" s="18">
        <x:f>IF(A283="","",Journal_Import!J283)</x:f>
      </x:c>
      <x:c r="E283" s="19">
        <x:f>IF(A283="","",Journal_Import!D283)</x:f>
      </x:c>
      <x:c r="F283" s="19">
        <x:f>IF(A283="","",Journal_Import!F283)</x:f>
      </x:c>
      <x:c r="G283" s="19">
        <x:f>IF(A283="","",Journal_Import!G283)</x:f>
      </x:c>
      <x:c r="H283" s="19">
        <x:f>IF(A283="","",Journal_Import!H283)</x:f>
      </x:c>
      <x:c r="I283" s="12">
        <x:f>IF(A283="","",Journal_Import!S283)</x:f>
      </x:c>
      <x:c r="J283" s="12">
        <x:f>IF(A283="","",Journal_Import!T283)</x:f>
      </x:c>
      <x:c r="K283" s="12">
        <x:f>IF(C283="","",IF(C283=C282,K282+I283-J283,IFERROR(INDEX(COA_Master!$N:$N,MATCH(C283,COA_Master!$A:$A,0)),0)+I283-J283))</x:f>
      </x:c>
      <x:c r="L283" s="19">
        <x:f>IF(A283="","",IF(IFERROR(INDEX(COA_Master!$G:$G,MATCH(C283,COA_Master!$A:$A,0)),"Debit")="Debit",IF(K283&gt;=0,"Debit","Credit"),IF(K283&gt;=0,"Credit","Debit")))</x:f>
      </x:c>
      <x:c r="M283" s="19">
        <x:f>IF(A283="","",Journal_Import!V283)</x:f>
      </x:c>
      <x:c r="N283" s="19">
        <x:f>IF(A283="","",Journal_Import!W283)</x:f>
      </x:c>
      <x:c r="O283" s="19">
        <x:f>IF(A283="","",Journal_Import!Z283)</x:f>
      </x:c>
    </x:row>
    <x:row r="284">
      <x:c r="A284" s="18">
        <x:f>IF(Journal_Import!A284="","",Journal_Import!A284)</x:f>
      </x:c>
      <x:c r="B284" s="18">
        <x:f>IF(A284="","",Journal_Import!B284)</x:f>
      </x:c>
      <x:c r="C284" s="18">
        <x:f>IF(A284="","",Journal_Import!I284)</x:f>
      </x:c>
      <x:c r="D284" s="18">
        <x:f>IF(A284="","",Journal_Import!J284)</x:f>
      </x:c>
      <x:c r="E284" s="19">
        <x:f>IF(A284="","",Journal_Import!D284)</x:f>
      </x:c>
      <x:c r="F284" s="19">
        <x:f>IF(A284="","",Journal_Import!F284)</x:f>
      </x:c>
      <x:c r="G284" s="19">
        <x:f>IF(A284="","",Journal_Import!G284)</x:f>
      </x:c>
      <x:c r="H284" s="19">
        <x:f>IF(A284="","",Journal_Import!H284)</x:f>
      </x:c>
      <x:c r="I284" s="12">
        <x:f>IF(A284="","",Journal_Import!S284)</x:f>
      </x:c>
      <x:c r="J284" s="12">
        <x:f>IF(A284="","",Journal_Import!T284)</x:f>
      </x:c>
      <x:c r="K284" s="12">
        <x:f>IF(C284="","",IF(C284=C283,K283+I284-J284,IFERROR(INDEX(COA_Master!$N:$N,MATCH(C284,COA_Master!$A:$A,0)),0)+I284-J284))</x:f>
      </x:c>
      <x:c r="L284" s="19">
        <x:f>IF(A284="","",IF(IFERROR(INDEX(COA_Master!$G:$G,MATCH(C284,COA_Master!$A:$A,0)),"Debit")="Debit",IF(K284&gt;=0,"Debit","Credit"),IF(K284&gt;=0,"Credit","Debit")))</x:f>
      </x:c>
      <x:c r="M284" s="19">
        <x:f>IF(A284="","",Journal_Import!V284)</x:f>
      </x:c>
      <x:c r="N284" s="19">
        <x:f>IF(A284="","",Journal_Import!W284)</x:f>
      </x:c>
      <x:c r="O284" s="19">
        <x:f>IF(A284="","",Journal_Import!Z284)</x:f>
      </x:c>
    </x:row>
    <x:row r="285">
      <x:c r="A285" s="18">
        <x:f>IF(Journal_Import!A285="","",Journal_Import!A285)</x:f>
      </x:c>
      <x:c r="B285" s="18">
        <x:f>IF(A285="","",Journal_Import!B285)</x:f>
      </x:c>
      <x:c r="C285" s="18">
        <x:f>IF(A285="","",Journal_Import!I285)</x:f>
      </x:c>
      <x:c r="D285" s="18">
        <x:f>IF(A285="","",Journal_Import!J285)</x:f>
      </x:c>
      <x:c r="E285" s="19">
        <x:f>IF(A285="","",Journal_Import!D285)</x:f>
      </x:c>
      <x:c r="F285" s="19">
        <x:f>IF(A285="","",Journal_Import!F285)</x:f>
      </x:c>
      <x:c r="G285" s="19">
        <x:f>IF(A285="","",Journal_Import!G285)</x:f>
      </x:c>
      <x:c r="H285" s="19">
        <x:f>IF(A285="","",Journal_Import!H285)</x:f>
      </x:c>
      <x:c r="I285" s="12">
        <x:f>IF(A285="","",Journal_Import!S285)</x:f>
      </x:c>
      <x:c r="J285" s="12">
        <x:f>IF(A285="","",Journal_Import!T285)</x:f>
      </x:c>
      <x:c r="K285" s="12">
        <x:f>IF(C285="","",IF(C285=C284,K284+I285-J285,IFERROR(INDEX(COA_Master!$N:$N,MATCH(C285,COA_Master!$A:$A,0)),0)+I285-J285))</x:f>
      </x:c>
      <x:c r="L285" s="19">
        <x:f>IF(A285="","",IF(IFERROR(INDEX(COA_Master!$G:$G,MATCH(C285,COA_Master!$A:$A,0)),"Debit")="Debit",IF(K285&gt;=0,"Debit","Credit"),IF(K285&gt;=0,"Credit","Debit")))</x:f>
      </x:c>
      <x:c r="M285" s="19">
        <x:f>IF(A285="","",Journal_Import!V285)</x:f>
      </x:c>
      <x:c r="N285" s="19">
        <x:f>IF(A285="","",Journal_Import!W285)</x:f>
      </x:c>
      <x:c r="O285" s="19">
        <x:f>IF(A285="","",Journal_Import!Z285)</x:f>
      </x:c>
    </x:row>
    <x:row r="286">
      <x:c r="A286" s="18">
        <x:f>IF(Journal_Import!A286="","",Journal_Import!A286)</x:f>
      </x:c>
      <x:c r="B286" s="18">
        <x:f>IF(A286="","",Journal_Import!B286)</x:f>
      </x:c>
      <x:c r="C286" s="18">
        <x:f>IF(A286="","",Journal_Import!I286)</x:f>
      </x:c>
      <x:c r="D286" s="18">
        <x:f>IF(A286="","",Journal_Import!J286)</x:f>
      </x:c>
      <x:c r="E286" s="19">
        <x:f>IF(A286="","",Journal_Import!D286)</x:f>
      </x:c>
      <x:c r="F286" s="19">
        <x:f>IF(A286="","",Journal_Import!F286)</x:f>
      </x:c>
      <x:c r="G286" s="19">
        <x:f>IF(A286="","",Journal_Import!G286)</x:f>
      </x:c>
      <x:c r="H286" s="19">
        <x:f>IF(A286="","",Journal_Import!H286)</x:f>
      </x:c>
      <x:c r="I286" s="12">
        <x:f>IF(A286="","",Journal_Import!S286)</x:f>
      </x:c>
      <x:c r="J286" s="12">
        <x:f>IF(A286="","",Journal_Import!T286)</x:f>
      </x:c>
      <x:c r="K286" s="12">
        <x:f>IF(C286="","",IF(C286=C285,K285+I286-J286,IFERROR(INDEX(COA_Master!$N:$N,MATCH(C286,COA_Master!$A:$A,0)),0)+I286-J286))</x:f>
      </x:c>
      <x:c r="L286" s="19">
        <x:f>IF(A286="","",IF(IFERROR(INDEX(COA_Master!$G:$G,MATCH(C286,COA_Master!$A:$A,0)),"Debit")="Debit",IF(K286&gt;=0,"Debit","Credit"),IF(K286&gt;=0,"Credit","Debit")))</x:f>
      </x:c>
      <x:c r="M286" s="19">
        <x:f>IF(A286="","",Journal_Import!V286)</x:f>
      </x:c>
      <x:c r="N286" s="19">
        <x:f>IF(A286="","",Journal_Import!W286)</x:f>
      </x:c>
      <x:c r="O286" s="19">
        <x:f>IF(A286="","",Journal_Import!Z286)</x:f>
      </x:c>
    </x:row>
    <x:row r="287">
      <x:c r="A287" s="18">
        <x:f>IF(Journal_Import!A287="","",Journal_Import!A287)</x:f>
      </x:c>
      <x:c r="B287" s="18">
        <x:f>IF(A287="","",Journal_Import!B287)</x:f>
      </x:c>
      <x:c r="C287" s="18">
        <x:f>IF(A287="","",Journal_Import!I287)</x:f>
      </x:c>
      <x:c r="D287" s="18">
        <x:f>IF(A287="","",Journal_Import!J287)</x:f>
      </x:c>
      <x:c r="E287" s="19">
        <x:f>IF(A287="","",Journal_Import!D287)</x:f>
      </x:c>
      <x:c r="F287" s="19">
        <x:f>IF(A287="","",Journal_Import!F287)</x:f>
      </x:c>
      <x:c r="G287" s="19">
        <x:f>IF(A287="","",Journal_Import!G287)</x:f>
      </x:c>
      <x:c r="H287" s="19">
        <x:f>IF(A287="","",Journal_Import!H287)</x:f>
      </x:c>
      <x:c r="I287" s="12">
        <x:f>IF(A287="","",Journal_Import!S287)</x:f>
      </x:c>
      <x:c r="J287" s="12">
        <x:f>IF(A287="","",Journal_Import!T287)</x:f>
      </x:c>
      <x:c r="K287" s="12">
        <x:f>IF(C287="","",IF(C287=C286,K286+I287-J287,IFERROR(INDEX(COA_Master!$N:$N,MATCH(C287,COA_Master!$A:$A,0)),0)+I287-J287))</x:f>
      </x:c>
      <x:c r="L287" s="19">
        <x:f>IF(A287="","",IF(IFERROR(INDEX(COA_Master!$G:$G,MATCH(C287,COA_Master!$A:$A,0)),"Debit")="Debit",IF(K287&gt;=0,"Debit","Credit"),IF(K287&gt;=0,"Credit","Debit")))</x:f>
      </x:c>
      <x:c r="M287" s="19">
        <x:f>IF(A287="","",Journal_Import!V287)</x:f>
      </x:c>
      <x:c r="N287" s="19">
        <x:f>IF(A287="","",Journal_Import!W287)</x:f>
      </x:c>
      <x:c r="O287" s="19">
        <x:f>IF(A287="","",Journal_Import!Z287)</x:f>
      </x:c>
    </x:row>
    <x:row r="288">
      <x:c r="A288" s="18">
        <x:f>IF(Journal_Import!A288="","",Journal_Import!A288)</x:f>
      </x:c>
      <x:c r="B288" s="18">
        <x:f>IF(A288="","",Journal_Import!B288)</x:f>
      </x:c>
      <x:c r="C288" s="18">
        <x:f>IF(A288="","",Journal_Import!I288)</x:f>
      </x:c>
      <x:c r="D288" s="18">
        <x:f>IF(A288="","",Journal_Import!J288)</x:f>
      </x:c>
      <x:c r="E288" s="19">
        <x:f>IF(A288="","",Journal_Import!D288)</x:f>
      </x:c>
      <x:c r="F288" s="19">
        <x:f>IF(A288="","",Journal_Import!F288)</x:f>
      </x:c>
      <x:c r="G288" s="19">
        <x:f>IF(A288="","",Journal_Import!G288)</x:f>
      </x:c>
      <x:c r="H288" s="19">
        <x:f>IF(A288="","",Journal_Import!H288)</x:f>
      </x:c>
      <x:c r="I288" s="12">
        <x:f>IF(A288="","",Journal_Import!S288)</x:f>
      </x:c>
      <x:c r="J288" s="12">
        <x:f>IF(A288="","",Journal_Import!T288)</x:f>
      </x:c>
      <x:c r="K288" s="12">
        <x:f>IF(C288="","",IF(C288=C287,K287+I288-J288,IFERROR(INDEX(COA_Master!$N:$N,MATCH(C288,COA_Master!$A:$A,0)),0)+I288-J288))</x:f>
      </x:c>
      <x:c r="L288" s="19">
        <x:f>IF(A288="","",IF(IFERROR(INDEX(COA_Master!$G:$G,MATCH(C288,COA_Master!$A:$A,0)),"Debit")="Debit",IF(K288&gt;=0,"Debit","Credit"),IF(K288&gt;=0,"Credit","Debit")))</x:f>
      </x:c>
      <x:c r="M288" s="19">
        <x:f>IF(A288="","",Journal_Import!V288)</x:f>
      </x:c>
      <x:c r="N288" s="19">
        <x:f>IF(A288="","",Journal_Import!W288)</x:f>
      </x:c>
      <x:c r="O288" s="19">
        <x:f>IF(A288="","",Journal_Import!Z288)</x:f>
      </x:c>
    </x:row>
    <x:row r="289">
      <x:c r="A289" s="18">
        <x:f>IF(Journal_Import!A289="","",Journal_Import!A289)</x:f>
      </x:c>
      <x:c r="B289" s="18">
        <x:f>IF(A289="","",Journal_Import!B289)</x:f>
      </x:c>
      <x:c r="C289" s="18">
        <x:f>IF(A289="","",Journal_Import!I289)</x:f>
      </x:c>
      <x:c r="D289" s="18">
        <x:f>IF(A289="","",Journal_Import!J289)</x:f>
      </x:c>
      <x:c r="E289" s="19">
        <x:f>IF(A289="","",Journal_Import!D289)</x:f>
      </x:c>
      <x:c r="F289" s="19">
        <x:f>IF(A289="","",Journal_Import!F289)</x:f>
      </x:c>
      <x:c r="G289" s="19">
        <x:f>IF(A289="","",Journal_Import!G289)</x:f>
      </x:c>
      <x:c r="H289" s="19">
        <x:f>IF(A289="","",Journal_Import!H289)</x:f>
      </x:c>
      <x:c r="I289" s="12">
        <x:f>IF(A289="","",Journal_Import!S289)</x:f>
      </x:c>
      <x:c r="J289" s="12">
        <x:f>IF(A289="","",Journal_Import!T289)</x:f>
      </x:c>
      <x:c r="K289" s="12">
        <x:f>IF(C289="","",IF(C289=C288,K288+I289-J289,IFERROR(INDEX(COA_Master!$N:$N,MATCH(C289,COA_Master!$A:$A,0)),0)+I289-J289))</x:f>
      </x:c>
      <x:c r="L289" s="19">
        <x:f>IF(A289="","",IF(IFERROR(INDEX(COA_Master!$G:$G,MATCH(C289,COA_Master!$A:$A,0)),"Debit")="Debit",IF(K289&gt;=0,"Debit","Credit"),IF(K289&gt;=0,"Credit","Debit")))</x:f>
      </x:c>
      <x:c r="M289" s="19">
        <x:f>IF(A289="","",Journal_Import!V289)</x:f>
      </x:c>
      <x:c r="N289" s="19">
        <x:f>IF(A289="","",Journal_Import!W289)</x:f>
      </x:c>
      <x:c r="O289" s="19">
        <x:f>IF(A289="","",Journal_Import!Z289)</x:f>
      </x:c>
    </x:row>
    <x:row r="290">
      <x:c r="A290" s="18">
        <x:f>IF(Journal_Import!A290="","",Journal_Import!A290)</x:f>
      </x:c>
      <x:c r="B290" s="18">
        <x:f>IF(A290="","",Journal_Import!B290)</x:f>
      </x:c>
      <x:c r="C290" s="18">
        <x:f>IF(A290="","",Journal_Import!I290)</x:f>
      </x:c>
      <x:c r="D290" s="18">
        <x:f>IF(A290="","",Journal_Import!J290)</x:f>
      </x:c>
      <x:c r="E290" s="19">
        <x:f>IF(A290="","",Journal_Import!D290)</x:f>
      </x:c>
      <x:c r="F290" s="19">
        <x:f>IF(A290="","",Journal_Import!F290)</x:f>
      </x:c>
      <x:c r="G290" s="19">
        <x:f>IF(A290="","",Journal_Import!G290)</x:f>
      </x:c>
      <x:c r="H290" s="19">
        <x:f>IF(A290="","",Journal_Import!H290)</x:f>
      </x:c>
      <x:c r="I290" s="12">
        <x:f>IF(A290="","",Journal_Import!S290)</x:f>
      </x:c>
      <x:c r="J290" s="12">
        <x:f>IF(A290="","",Journal_Import!T290)</x:f>
      </x:c>
      <x:c r="K290" s="12">
        <x:f>IF(C290="","",IF(C290=C289,K289+I290-J290,IFERROR(INDEX(COA_Master!$N:$N,MATCH(C290,COA_Master!$A:$A,0)),0)+I290-J290))</x:f>
      </x:c>
      <x:c r="L290" s="19">
        <x:f>IF(A290="","",IF(IFERROR(INDEX(COA_Master!$G:$G,MATCH(C290,COA_Master!$A:$A,0)),"Debit")="Debit",IF(K290&gt;=0,"Debit","Credit"),IF(K290&gt;=0,"Credit","Debit")))</x:f>
      </x:c>
      <x:c r="M290" s="19">
        <x:f>IF(A290="","",Journal_Import!V290)</x:f>
      </x:c>
      <x:c r="N290" s="19">
        <x:f>IF(A290="","",Journal_Import!W290)</x:f>
      </x:c>
      <x:c r="O290" s="19">
        <x:f>IF(A290="","",Journal_Import!Z290)</x:f>
      </x:c>
    </x:row>
    <x:row r="291">
      <x:c r="A291" s="18">
        <x:f>IF(Journal_Import!A291="","",Journal_Import!A291)</x:f>
      </x:c>
      <x:c r="B291" s="18">
        <x:f>IF(A291="","",Journal_Import!B291)</x:f>
      </x:c>
      <x:c r="C291" s="18">
        <x:f>IF(A291="","",Journal_Import!I291)</x:f>
      </x:c>
      <x:c r="D291" s="18">
        <x:f>IF(A291="","",Journal_Import!J291)</x:f>
      </x:c>
      <x:c r="E291" s="19">
        <x:f>IF(A291="","",Journal_Import!D291)</x:f>
      </x:c>
      <x:c r="F291" s="19">
        <x:f>IF(A291="","",Journal_Import!F291)</x:f>
      </x:c>
      <x:c r="G291" s="19">
        <x:f>IF(A291="","",Journal_Import!G291)</x:f>
      </x:c>
      <x:c r="H291" s="19">
        <x:f>IF(A291="","",Journal_Import!H291)</x:f>
      </x:c>
      <x:c r="I291" s="12">
        <x:f>IF(A291="","",Journal_Import!S291)</x:f>
      </x:c>
      <x:c r="J291" s="12">
        <x:f>IF(A291="","",Journal_Import!T291)</x:f>
      </x:c>
      <x:c r="K291" s="12">
        <x:f>IF(C291="","",IF(C291=C290,K290+I291-J291,IFERROR(INDEX(COA_Master!$N:$N,MATCH(C291,COA_Master!$A:$A,0)),0)+I291-J291))</x:f>
      </x:c>
      <x:c r="L291" s="19">
        <x:f>IF(A291="","",IF(IFERROR(INDEX(COA_Master!$G:$G,MATCH(C291,COA_Master!$A:$A,0)),"Debit")="Debit",IF(K291&gt;=0,"Debit","Credit"),IF(K291&gt;=0,"Credit","Debit")))</x:f>
      </x:c>
      <x:c r="M291" s="19">
        <x:f>IF(A291="","",Journal_Import!V291)</x:f>
      </x:c>
      <x:c r="N291" s="19">
        <x:f>IF(A291="","",Journal_Import!W291)</x:f>
      </x:c>
      <x:c r="O291" s="19">
        <x:f>IF(A291="","",Journal_Import!Z291)</x:f>
      </x:c>
    </x:row>
    <x:row r="292">
      <x:c r="A292" s="18">
        <x:f>IF(Journal_Import!A292="","",Journal_Import!A292)</x:f>
      </x:c>
      <x:c r="B292" s="18">
        <x:f>IF(A292="","",Journal_Import!B292)</x:f>
      </x:c>
      <x:c r="C292" s="18">
        <x:f>IF(A292="","",Journal_Import!I292)</x:f>
      </x:c>
      <x:c r="D292" s="18">
        <x:f>IF(A292="","",Journal_Import!J292)</x:f>
      </x:c>
      <x:c r="E292" s="19">
        <x:f>IF(A292="","",Journal_Import!D292)</x:f>
      </x:c>
      <x:c r="F292" s="19">
        <x:f>IF(A292="","",Journal_Import!F292)</x:f>
      </x:c>
      <x:c r="G292" s="19">
        <x:f>IF(A292="","",Journal_Import!G292)</x:f>
      </x:c>
      <x:c r="H292" s="19">
        <x:f>IF(A292="","",Journal_Import!H292)</x:f>
      </x:c>
      <x:c r="I292" s="12">
        <x:f>IF(A292="","",Journal_Import!S292)</x:f>
      </x:c>
      <x:c r="J292" s="12">
        <x:f>IF(A292="","",Journal_Import!T292)</x:f>
      </x:c>
      <x:c r="K292" s="12">
        <x:f>IF(C292="","",IF(C292=C291,K291+I292-J292,IFERROR(INDEX(COA_Master!$N:$N,MATCH(C292,COA_Master!$A:$A,0)),0)+I292-J292))</x:f>
      </x:c>
      <x:c r="L292" s="19">
        <x:f>IF(A292="","",IF(IFERROR(INDEX(COA_Master!$G:$G,MATCH(C292,COA_Master!$A:$A,0)),"Debit")="Debit",IF(K292&gt;=0,"Debit","Credit"),IF(K292&gt;=0,"Credit","Debit")))</x:f>
      </x:c>
      <x:c r="M292" s="19">
        <x:f>IF(A292="","",Journal_Import!V292)</x:f>
      </x:c>
      <x:c r="N292" s="19">
        <x:f>IF(A292="","",Journal_Import!W292)</x:f>
      </x:c>
      <x:c r="O292" s="19">
        <x:f>IF(A292="","",Journal_Import!Z292)</x:f>
      </x:c>
    </x:row>
    <x:row r="293">
      <x:c r="A293" s="18">
        <x:f>IF(Journal_Import!A293="","",Journal_Import!A293)</x:f>
      </x:c>
      <x:c r="B293" s="18">
        <x:f>IF(A293="","",Journal_Import!B293)</x:f>
      </x:c>
      <x:c r="C293" s="18">
        <x:f>IF(A293="","",Journal_Import!I293)</x:f>
      </x:c>
      <x:c r="D293" s="18">
        <x:f>IF(A293="","",Journal_Import!J293)</x:f>
      </x:c>
      <x:c r="E293" s="19">
        <x:f>IF(A293="","",Journal_Import!D293)</x:f>
      </x:c>
      <x:c r="F293" s="19">
        <x:f>IF(A293="","",Journal_Import!F293)</x:f>
      </x:c>
      <x:c r="G293" s="19">
        <x:f>IF(A293="","",Journal_Import!G293)</x:f>
      </x:c>
      <x:c r="H293" s="19">
        <x:f>IF(A293="","",Journal_Import!H293)</x:f>
      </x:c>
      <x:c r="I293" s="12">
        <x:f>IF(A293="","",Journal_Import!S293)</x:f>
      </x:c>
      <x:c r="J293" s="12">
        <x:f>IF(A293="","",Journal_Import!T293)</x:f>
      </x:c>
      <x:c r="K293" s="12">
        <x:f>IF(C293="","",IF(C293=C292,K292+I293-J293,IFERROR(INDEX(COA_Master!$N:$N,MATCH(C293,COA_Master!$A:$A,0)),0)+I293-J293))</x:f>
      </x:c>
      <x:c r="L293" s="19">
        <x:f>IF(A293="","",IF(IFERROR(INDEX(COA_Master!$G:$G,MATCH(C293,COA_Master!$A:$A,0)),"Debit")="Debit",IF(K293&gt;=0,"Debit","Credit"),IF(K293&gt;=0,"Credit","Debit")))</x:f>
      </x:c>
      <x:c r="M293" s="19">
        <x:f>IF(A293="","",Journal_Import!V293)</x:f>
      </x:c>
      <x:c r="N293" s="19">
        <x:f>IF(A293="","",Journal_Import!W293)</x:f>
      </x:c>
      <x:c r="O293" s="19">
        <x:f>IF(A293="","",Journal_Import!Z293)</x:f>
      </x:c>
    </x:row>
    <x:row r="294">
      <x:c r="A294" s="18">
        <x:f>IF(Journal_Import!A294="","",Journal_Import!A294)</x:f>
      </x:c>
      <x:c r="B294" s="18">
        <x:f>IF(A294="","",Journal_Import!B294)</x:f>
      </x:c>
      <x:c r="C294" s="18">
        <x:f>IF(A294="","",Journal_Import!I294)</x:f>
      </x:c>
      <x:c r="D294" s="18">
        <x:f>IF(A294="","",Journal_Import!J294)</x:f>
      </x:c>
      <x:c r="E294" s="19">
        <x:f>IF(A294="","",Journal_Import!D294)</x:f>
      </x:c>
      <x:c r="F294" s="19">
        <x:f>IF(A294="","",Journal_Import!F294)</x:f>
      </x:c>
      <x:c r="G294" s="19">
        <x:f>IF(A294="","",Journal_Import!G294)</x:f>
      </x:c>
      <x:c r="H294" s="19">
        <x:f>IF(A294="","",Journal_Import!H294)</x:f>
      </x:c>
      <x:c r="I294" s="12">
        <x:f>IF(A294="","",Journal_Import!S294)</x:f>
      </x:c>
      <x:c r="J294" s="12">
        <x:f>IF(A294="","",Journal_Import!T294)</x:f>
      </x:c>
      <x:c r="K294" s="12">
        <x:f>IF(C294="","",IF(C294=C293,K293+I294-J294,IFERROR(INDEX(COA_Master!$N:$N,MATCH(C294,COA_Master!$A:$A,0)),0)+I294-J294))</x:f>
      </x:c>
      <x:c r="L294" s="19">
        <x:f>IF(A294="","",IF(IFERROR(INDEX(COA_Master!$G:$G,MATCH(C294,COA_Master!$A:$A,0)),"Debit")="Debit",IF(K294&gt;=0,"Debit","Credit"),IF(K294&gt;=0,"Credit","Debit")))</x:f>
      </x:c>
      <x:c r="M294" s="19">
        <x:f>IF(A294="","",Journal_Import!V294)</x:f>
      </x:c>
      <x:c r="N294" s="19">
        <x:f>IF(A294="","",Journal_Import!W294)</x:f>
      </x:c>
      <x:c r="O294" s="19">
        <x:f>IF(A294="","",Journal_Import!Z294)</x:f>
      </x:c>
    </x:row>
    <x:row r="295">
      <x:c r="A295" s="18">
        <x:f>IF(Journal_Import!A295="","",Journal_Import!A295)</x:f>
      </x:c>
      <x:c r="B295" s="18">
        <x:f>IF(A295="","",Journal_Import!B295)</x:f>
      </x:c>
      <x:c r="C295" s="18">
        <x:f>IF(A295="","",Journal_Import!I295)</x:f>
      </x:c>
      <x:c r="D295" s="18">
        <x:f>IF(A295="","",Journal_Import!J295)</x:f>
      </x:c>
      <x:c r="E295" s="19">
        <x:f>IF(A295="","",Journal_Import!D295)</x:f>
      </x:c>
      <x:c r="F295" s="19">
        <x:f>IF(A295="","",Journal_Import!F295)</x:f>
      </x:c>
      <x:c r="G295" s="19">
        <x:f>IF(A295="","",Journal_Import!G295)</x:f>
      </x:c>
      <x:c r="H295" s="19">
        <x:f>IF(A295="","",Journal_Import!H295)</x:f>
      </x:c>
      <x:c r="I295" s="12">
        <x:f>IF(A295="","",Journal_Import!S295)</x:f>
      </x:c>
      <x:c r="J295" s="12">
        <x:f>IF(A295="","",Journal_Import!T295)</x:f>
      </x:c>
      <x:c r="K295" s="12">
        <x:f>IF(C295="","",IF(C295=C294,K294+I295-J295,IFERROR(INDEX(COA_Master!$N:$N,MATCH(C295,COA_Master!$A:$A,0)),0)+I295-J295))</x:f>
      </x:c>
      <x:c r="L295" s="19">
        <x:f>IF(A295="","",IF(IFERROR(INDEX(COA_Master!$G:$G,MATCH(C295,COA_Master!$A:$A,0)),"Debit")="Debit",IF(K295&gt;=0,"Debit","Credit"),IF(K295&gt;=0,"Credit","Debit")))</x:f>
      </x:c>
      <x:c r="M295" s="19">
        <x:f>IF(A295="","",Journal_Import!V295)</x:f>
      </x:c>
      <x:c r="N295" s="19">
        <x:f>IF(A295="","",Journal_Import!W295)</x:f>
      </x:c>
      <x:c r="O295" s="19">
        <x:f>IF(A295="","",Journal_Import!Z295)</x:f>
      </x:c>
    </x:row>
    <x:row r="296">
      <x:c r="A296" s="18">
        <x:f>IF(Journal_Import!A296="","",Journal_Import!A296)</x:f>
      </x:c>
      <x:c r="B296" s="18">
        <x:f>IF(A296="","",Journal_Import!B296)</x:f>
      </x:c>
      <x:c r="C296" s="18">
        <x:f>IF(A296="","",Journal_Import!I296)</x:f>
      </x:c>
      <x:c r="D296" s="18">
        <x:f>IF(A296="","",Journal_Import!J296)</x:f>
      </x:c>
      <x:c r="E296" s="19">
        <x:f>IF(A296="","",Journal_Import!D296)</x:f>
      </x:c>
      <x:c r="F296" s="19">
        <x:f>IF(A296="","",Journal_Import!F296)</x:f>
      </x:c>
      <x:c r="G296" s="19">
        <x:f>IF(A296="","",Journal_Import!G296)</x:f>
      </x:c>
      <x:c r="H296" s="19">
        <x:f>IF(A296="","",Journal_Import!H296)</x:f>
      </x:c>
      <x:c r="I296" s="12">
        <x:f>IF(A296="","",Journal_Import!S296)</x:f>
      </x:c>
      <x:c r="J296" s="12">
        <x:f>IF(A296="","",Journal_Import!T296)</x:f>
      </x:c>
      <x:c r="K296" s="12">
        <x:f>IF(C296="","",IF(C296=C295,K295+I296-J296,IFERROR(INDEX(COA_Master!$N:$N,MATCH(C296,COA_Master!$A:$A,0)),0)+I296-J296))</x:f>
      </x:c>
      <x:c r="L296" s="19">
        <x:f>IF(A296="","",IF(IFERROR(INDEX(COA_Master!$G:$G,MATCH(C296,COA_Master!$A:$A,0)),"Debit")="Debit",IF(K296&gt;=0,"Debit","Credit"),IF(K296&gt;=0,"Credit","Debit")))</x:f>
      </x:c>
      <x:c r="M296" s="19">
        <x:f>IF(A296="","",Journal_Import!V296)</x:f>
      </x:c>
      <x:c r="N296" s="19">
        <x:f>IF(A296="","",Journal_Import!W296)</x:f>
      </x:c>
      <x:c r="O296" s="19">
        <x:f>IF(A296="","",Journal_Import!Z296)</x:f>
      </x:c>
    </x:row>
    <x:row r="297">
      <x:c r="A297" s="18">
        <x:f>IF(Journal_Import!A297="","",Journal_Import!A297)</x:f>
      </x:c>
      <x:c r="B297" s="18">
        <x:f>IF(A297="","",Journal_Import!B297)</x:f>
      </x:c>
      <x:c r="C297" s="18">
        <x:f>IF(A297="","",Journal_Import!I297)</x:f>
      </x:c>
      <x:c r="D297" s="18">
        <x:f>IF(A297="","",Journal_Import!J297)</x:f>
      </x:c>
      <x:c r="E297" s="19">
        <x:f>IF(A297="","",Journal_Import!D297)</x:f>
      </x:c>
      <x:c r="F297" s="19">
        <x:f>IF(A297="","",Journal_Import!F297)</x:f>
      </x:c>
      <x:c r="G297" s="19">
        <x:f>IF(A297="","",Journal_Import!G297)</x:f>
      </x:c>
      <x:c r="H297" s="19">
        <x:f>IF(A297="","",Journal_Import!H297)</x:f>
      </x:c>
      <x:c r="I297" s="12">
        <x:f>IF(A297="","",Journal_Import!S297)</x:f>
      </x:c>
      <x:c r="J297" s="12">
        <x:f>IF(A297="","",Journal_Import!T297)</x:f>
      </x:c>
      <x:c r="K297" s="12">
        <x:f>IF(C297="","",IF(C297=C296,K296+I297-J297,IFERROR(INDEX(COA_Master!$N:$N,MATCH(C297,COA_Master!$A:$A,0)),0)+I297-J297))</x:f>
      </x:c>
      <x:c r="L297" s="19">
        <x:f>IF(A297="","",IF(IFERROR(INDEX(COA_Master!$G:$G,MATCH(C297,COA_Master!$A:$A,0)),"Debit")="Debit",IF(K297&gt;=0,"Debit","Credit"),IF(K297&gt;=0,"Credit","Debit")))</x:f>
      </x:c>
      <x:c r="M297" s="19">
        <x:f>IF(A297="","",Journal_Import!V297)</x:f>
      </x:c>
      <x:c r="N297" s="19">
        <x:f>IF(A297="","",Journal_Import!W297)</x:f>
      </x:c>
      <x:c r="O297" s="19">
        <x:f>IF(A297="","",Journal_Import!Z297)</x:f>
      </x:c>
    </x:row>
    <x:row r="298">
      <x:c r="A298" s="18">
        <x:f>IF(Journal_Import!A298="","",Journal_Import!A298)</x:f>
      </x:c>
      <x:c r="B298" s="18">
        <x:f>IF(A298="","",Journal_Import!B298)</x:f>
      </x:c>
      <x:c r="C298" s="18">
        <x:f>IF(A298="","",Journal_Import!I298)</x:f>
      </x:c>
      <x:c r="D298" s="18">
        <x:f>IF(A298="","",Journal_Import!J298)</x:f>
      </x:c>
      <x:c r="E298" s="19">
        <x:f>IF(A298="","",Journal_Import!D298)</x:f>
      </x:c>
      <x:c r="F298" s="19">
        <x:f>IF(A298="","",Journal_Import!F298)</x:f>
      </x:c>
      <x:c r="G298" s="19">
        <x:f>IF(A298="","",Journal_Import!G298)</x:f>
      </x:c>
      <x:c r="H298" s="19">
        <x:f>IF(A298="","",Journal_Import!H298)</x:f>
      </x:c>
      <x:c r="I298" s="12">
        <x:f>IF(A298="","",Journal_Import!S298)</x:f>
      </x:c>
      <x:c r="J298" s="12">
        <x:f>IF(A298="","",Journal_Import!T298)</x:f>
      </x:c>
      <x:c r="K298" s="12">
        <x:f>IF(C298="","",IF(C298=C297,K297+I298-J298,IFERROR(INDEX(COA_Master!$N:$N,MATCH(C298,COA_Master!$A:$A,0)),0)+I298-J298))</x:f>
      </x:c>
      <x:c r="L298" s="19">
        <x:f>IF(A298="","",IF(IFERROR(INDEX(COA_Master!$G:$G,MATCH(C298,COA_Master!$A:$A,0)),"Debit")="Debit",IF(K298&gt;=0,"Debit","Credit"),IF(K298&gt;=0,"Credit","Debit")))</x:f>
      </x:c>
      <x:c r="M298" s="19">
        <x:f>IF(A298="","",Journal_Import!V298)</x:f>
      </x:c>
      <x:c r="N298" s="19">
        <x:f>IF(A298="","",Journal_Import!W298)</x:f>
      </x:c>
      <x:c r="O298" s="19">
        <x:f>IF(A298="","",Journal_Import!Z298)</x:f>
      </x:c>
    </x:row>
    <x:row r="299">
      <x:c r="A299" s="18">
        <x:f>IF(Journal_Import!A299="","",Journal_Import!A299)</x:f>
      </x:c>
      <x:c r="B299" s="18">
        <x:f>IF(A299="","",Journal_Import!B299)</x:f>
      </x:c>
      <x:c r="C299" s="18">
        <x:f>IF(A299="","",Journal_Import!I299)</x:f>
      </x:c>
      <x:c r="D299" s="18">
        <x:f>IF(A299="","",Journal_Import!J299)</x:f>
      </x:c>
      <x:c r="E299" s="19">
        <x:f>IF(A299="","",Journal_Import!D299)</x:f>
      </x:c>
      <x:c r="F299" s="19">
        <x:f>IF(A299="","",Journal_Import!F299)</x:f>
      </x:c>
      <x:c r="G299" s="19">
        <x:f>IF(A299="","",Journal_Import!G299)</x:f>
      </x:c>
      <x:c r="H299" s="19">
        <x:f>IF(A299="","",Journal_Import!H299)</x:f>
      </x:c>
      <x:c r="I299" s="12">
        <x:f>IF(A299="","",Journal_Import!S299)</x:f>
      </x:c>
      <x:c r="J299" s="12">
        <x:f>IF(A299="","",Journal_Import!T299)</x:f>
      </x:c>
      <x:c r="K299" s="12">
        <x:f>IF(C299="","",IF(C299=C298,K298+I299-J299,IFERROR(INDEX(COA_Master!$N:$N,MATCH(C299,COA_Master!$A:$A,0)),0)+I299-J299))</x:f>
      </x:c>
      <x:c r="L299" s="19">
        <x:f>IF(A299="","",IF(IFERROR(INDEX(COA_Master!$G:$G,MATCH(C299,COA_Master!$A:$A,0)),"Debit")="Debit",IF(K299&gt;=0,"Debit","Credit"),IF(K299&gt;=0,"Credit","Debit")))</x:f>
      </x:c>
      <x:c r="M299" s="19">
        <x:f>IF(A299="","",Journal_Import!V299)</x:f>
      </x:c>
      <x:c r="N299" s="19">
        <x:f>IF(A299="","",Journal_Import!W299)</x:f>
      </x:c>
      <x:c r="O299" s="19">
        <x:f>IF(A299="","",Journal_Import!Z299)</x:f>
      </x:c>
    </x:row>
    <x:row r="300">
      <x:c r="A300" s="18">
        <x:f>IF(Journal_Import!A300="","",Journal_Import!A300)</x:f>
      </x:c>
      <x:c r="B300" s="18">
        <x:f>IF(A300="","",Journal_Import!B300)</x:f>
      </x:c>
      <x:c r="C300" s="18">
        <x:f>IF(A300="","",Journal_Import!I300)</x:f>
      </x:c>
      <x:c r="D300" s="18">
        <x:f>IF(A300="","",Journal_Import!J300)</x:f>
      </x:c>
      <x:c r="E300" s="19">
        <x:f>IF(A300="","",Journal_Import!D300)</x:f>
      </x:c>
      <x:c r="F300" s="19">
        <x:f>IF(A300="","",Journal_Import!F300)</x:f>
      </x:c>
      <x:c r="G300" s="19">
        <x:f>IF(A300="","",Journal_Import!G300)</x:f>
      </x:c>
      <x:c r="H300" s="19">
        <x:f>IF(A300="","",Journal_Import!H300)</x:f>
      </x:c>
      <x:c r="I300" s="12">
        <x:f>IF(A300="","",Journal_Import!S300)</x:f>
      </x:c>
      <x:c r="J300" s="12">
        <x:f>IF(A300="","",Journal_Import!T300)</x:f>
      </x:c>
      <x:c r="K300" s="12">
        <x:f>IF(C300="","",IF(C300=C299,K299+I300-J300,IFERROR(INDEX(COA_Master!$N:$N,MATCH(C300,COA_Master!$A:$A,0)),0)+I300-J300))</x:f>
      </x:c>
      <x:c r="L300" s="19">
        <x:f>IF(A300="","",IF(IFERROR(INDEX(COA_Master!$G:$G,MATCH(C300,COA_Master!$A:$A,0)),"Debit")="Debit",IF(K300&gt;=0,"Debit","Credit"),IF(K300&gt;=0,"Credit","Debit")))</x:f>
      </x:c>
      <x:c r="M300" s="19">
        <x:f>IF(A300="","",Journal_Import!V300)</x:f>
      </x:c>
      <x:c r="N300" s="19">
        <x:f>IF(A300="","",Journal_Import!W300)</x:f>
      </x:c>
      <x:c r="O300" s="19">
        <x:f>IF(A300="","",Journal_Import!Z300)</x:f>
      </x:c>
    </x:row>
    <x:row r="301">
      <x:c r="A301" s="18">
        <x:f>IF(Journal_Import!A301="","",Journal_Import!A301)</x:f>
      </x:c>
      <x:c r="B301" s="18">
        <x:f>IF(A301="","",Journal_Import!B301)</x:f>
      </x:c>
      <x:c r="C301" s="18">
        <x:f>IF(A301="","",Journal_Import!I301)</x:f>
      </x:c>
      <x:c r="D301" s="18">
        <x:f>IF(A301="","",Journal_Import!J301)</x:f>
      </x:c>
      <x:c r="E301" s="19">
        <x:f>IF(A301="","",Journal_Import!D301)</x:f>
      </x:c>
      <x:c r="F301" s="19">
        <x:f>IF(A301="","",Journal_Import!F301)</x:f>
      </x:c>
      <x:c r="G301" s="19">
        <x:f>IF(A301="","",Journal_Import!G301)</x:f>
      </x:c>
      <x:c r="H301" s="19">
        <x:f>IF(A301="","",Journal_Import!H301)</x:f>
      </x:c>
      <x:c r="I301" s="12">
        <x:f>IF(A301="","",Journal_Import!S301)</x:f>
      </x:c>
      <x:c r="J301" s="12">
        <x:f>IF(A301="","",Journal_Import!T301)</x:f>
      </x:c>
      <x:c r="K301" s="12">
        <x:f>IF(C301="","",IF(C301=C300,K300+I301-J301,IFERROR(INDEX(COA_Master!$N:$N,MATCH(C301,COA_Master!$A:$A,0)),0)+I301-J301))</x:f>
      </x:c>
      <x:c r="L301" s="19">
        <x:f>IF(A301="","",IF(IFERROR(INDEX(COA_Master!$G:$G,MATCH(C301,COA_Master!$A:$A,0)),"Debit")="Debit",IF(K301&gt;=0,"Debit","Credit"),IF(K301&gt;=0,"Credit","Debit")))</x:f>
      </x:c>
      <x:c r="M301" s="19">
        <x:f>IF(A301="","",Journal_Import!V301)</x:f>
      </x:c>
      <x:c r="N301" s="19">
        <x:f>IF(A301="","",Journal_Import!W301)</x:f>
      </x:c>
      <x:c r="O301" s="19">
        <x:f>IF(A301="","",Journal_Import!Z301)</x:f>
      </x:c>
    </x:row>
    <x:row r="302">
      <x:c r="A302" s="18">
        <x:f>IF(Journal_Import!A302="","",Journal_Import!A302)</x:f>
      </x:c>
      <x:c r="B302" s="18">
        <x:f>IF(A302="","",Journal_Import!B302)</x:f>
      </x:c>
      <x:c r="C302" s="18">
        <x:f>IF(A302="","",Journal_Import!I302)</x:f>
      </x:c>
      <x:c r="D302" s="18">
        <x:f>IF(A302="","",Journal_Import!J302)</x:f>
      </x:c>
      <x:c r="E302" s="19">
        <x:f>IF(A302="","",Journal_Import!D302)</x:f>
      </x:c>
      <x:c r="F302" s="19">
        <x:f>IF(A302="","",Journal_Import!F302)</x:f>
      </x:c>
      <x:c r="G302" s="19">
        <x:f>IF(A302="","",Journal_Import!G302)</x:f>
      </x:c>
      <x:c r="H302" s="19">
        <x:f>IF(A302="","",Journal_Import!H302)</x:f>
      </x:c>
      <x:c r="I302" s="12">
        <x:f>IF(A302="","",Journal_Import!S302)</x:f>
      </x:c>
      <x:c r="J302" s="12">
        <x:f>IF(A302="","",Journal_Import!T302)</x:f>
      </x:c>
      <x:c r="K302" s="12">
        <x:f>IF(C302="","",IF(C302=C301,K301+I302-J302,IFERROR(INDEX(COA_Master!$N:$N,MATCH(C302,COA_Master!$A:$A,0)),0)+I302-J302))</x:f>
      </x:c>
      <x:c r="L302" s="19">
        <x:f>IF(A302="","",IF(IFERROR(INDEX(COA_Master!$G:$G,MATCH(C302,COA_Master!$A:$A,0)),"Debit")="Debit",IF(K302&gt;=0,"Debit","Credit"),IF(K302&gt;=0,"Credit","Debit")))</x:f>
      </x:c>
      <x:c r="M302" s="19">
        <x:f>IF(A302="","",Journal_Import!V302)</x:f>
      </x:c>
      <x:c r="N302" s="19">
        <x:f>IF(A302="","",Journal_Import!W302)</x:f>
      </x:c>
      <x:c r="O302" s="19">
        <x:f>IF(A302="","",Journal_Import!Z302)</x:f>
      </x:c>
    </x:row>
    <x:row r="303">
      <x:c r="A303" s="18">
        <x:f>IF(Journal_Import!A303="","",Journal_Import!A303)</x:f>
      </x:c>
      <x:c r="B303" s="18">
        <x:f>IF(A303="","",Journal_Import!B303)</x:f>
      </x:c>
      <x:c r="C303" s="18">
        <x:f>IF(A303="","",Journal_Import!I303)</x:f>
      </x:c>
      <x:c r="D303" s="18">
        <x:f>IF(A303="","",Journal_Import!J303)</x:f>
      </x:c>
      <x:c r="E303" s="19">
        <x:f>IF(A303="","",Journal_Import!D303)</x:f>
      </x:c>
      <x:c r="F303" s="19">
        <x:f>IF(A303="","",Journal_Import!F303)</x:f>
      </x:c>
      <x:c r="G303" s="19">
        <x:f>IF(A303="","",Journal_Import!G303)</x:f>
      </x:c>
      <x:c r="H303" s="19">
        <x:f>IF(A303="","",Journal_Import!H303)</x:f>
      </x:c>
      <x:c r="I303" s="12">
        <x:f>IF(A303="","",Journal_Import!S303)</x:f>
      </x:c>
      <x:c r="J303" s="12">
        <x:f>IF(A303="","",Journal_Import!T303)</x:f>
      </x:c>
      <x:c r="K303" s="12">
        <x:f>IF(C303="","",IF(C303=C302,K302+I303-J303,IFERROR(INDEX(COA_Master!$N:$N,MATCH(C303,COA_Master!$A:$A,0)),0)+I303-J303))</x:f>
      </x:c>
      <x:c r="L303" s="19">
        <x:f>IF(A303="","",IF(IFERROR(INDEX(COA_Master!$G:$G,MATCH(C303,COA_Master!$A:$A,0)),"Debit")="Debit",IF(K303&gt;=0,"Debit","Credit"),IF(K303&gt;=0,"Credit","Debit")))</x:f>
      </x:c>
      <x:c r="M303" s="19">
        <x:f>IF(A303="","",Journal_Import!V303)</x:f>
      </x:c>
      <x:c r="N303" s="19">
        <x:f>IF(A303="","",Journal_Import!W303)</x:f>
      </x:c>
      <x:c r="O303" s="19">
        <x:f>IF(A303="","",Journal_Import!Z303)</x:f>
      </x:c>
    </x:row>
    <x:row r="304">
      <x:c r="A304" s="18">
        <x:f>IF(Journal_Import!A304="","",Journal_Import!A304)</x:f>
      </x:c>
      <x:c r="B304" s="18">
        <x:f>IF(A304="","",Journal_Import!B304)</x:f>
      </x:c>
      <x:c r="C304" s="18">
        <x:f>IF(A304="","",Journal_Import!I304)</x:f>
      </x:c>
      <x:c r="D304" s="18">
        <x:f>IF(A304="","",Journal_Import!J304)</x:f>
      </x:c>
      <x:c r="E304" s="19">
        <x:f>IF(A304="","",Journal_Import!D304)</x:f>
      </x:c>
      <x:c r="F304" s="19">
        <x:f>IF(A304="","",Journal_Import!F304)</x:f>
      </x:c>
      <x:c r="G304" s="19">
        <x:f>IF(A304="","",Journal_Import!G304)</x:f>
      </x:c>
      <x:c r="H304" s="19">
        <x:f>IF(A304="","",Journal_Import!H304)</x:f>
      </x:c>
      <x:c r="I304" s="12">
        <x:f>IF(A304="","",Journal_Import!S304)</x:f>
      </x:c>
      <x:c r="J304" s="12">
        <x:f>IF(A304="","",Journal_Import!T304)</x:f>
      </x:c>
      <x:c r="K304" s="12">
        <x:f>IF(C304="","",IF(C304=C303,K303+I304-J304,IFERROR(INDEX(COA_Master!$N:$N,MATCH(C304,COA_Master!$A:$A,0)),0)+I304-J304))</x:f>
      </x:c>
      <x:c r="L304" s="19">
        <x:f>IF(A304="","",IF(IFERROR(INDEX(COA_Master!$G:$G,MATCH(C304,COA_Master!$A:$A,0)),"Debit")="Debit",IF(K304&gt;=0,"Debit","Credit"),IF(K304&gt;=0,"Credit","Debit")))</x:f>
      </x:c>
      <x:c r="M304" s="19">
        <x:f>IF(A304="","",Journal_Import!V304)</x:f>
      </x:c>
      <x:c r="N304" s="19">
        <x:f>IF(A304="","",Journal_Import!W304)</x:f>
      </x:c>
      <x:c r="O304" s="19">
        <x:f>IF(A304="","",Journal_Import!Z304)</x:f>
      </x:c>
    </x:row>
  </x:sheetData>
  <x:mergeCells>
    <x:mergeCell ref="A1:O1"/>
    <x:mergeCell ref="A2:O2"/>
  </x:mergeCells>
  <x:conditionalFormatting sqref="O5:O604">
    <x:cfRule type="expression" dxfId="0" priority="1">
      <x:formula>$O5="Yes"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c3ba4d60890483d"/>
  </x:tableParts>
</x:worksheet>
</file>

<file path=xl/worksheets/sheet19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12" customWidth="1"/>
    <x:col min="2" max="2" width="30" customWidth="1"/>
    <x:col min="3" max="3" width="16" customWidth="1"/>
    <x:col min="4" max="4" width="16" customWidth="1"/>
    <x:col min="5" max="5" width="16" customWidth="1"/>
    <x:col min="6" max="6" width="12" customWidth="1"/>
    <x:col min="7" max="7" width="12" customWidth="1"/>
    <x:col min="8" max="8" width="14" customWidth="1"/>
    <x:col min="9" max="9" width="24" customWidth="1"/>
  </x:cols>
  <x:sheetData>
    <x:row r="1" ht="24" customHeight="1">
      <x:c r="A1" s="1" t="inlineStr">
        <x:is>
          <x:t xml:space="preserve">Recon_Engine</x:t>
        </x:is>
      </x:c>
    </x:row>
    <x:row r="2" ht="36" customHeight="1">
      <x:c r="A2" s="2" t="inlineStr">
        <x:is>
          <x:t xml:space="preserve">Core balancing and reconciliation controls. Any CHECK result should block final file generation until resolved.</x:t>
        </x:is>
      </x:c>
    </x:row>
    <x:row r="3">
      <x:c r="A3" s="8" t="inlineStr">
        <x:is>
          <x:t xml:space="preserve">Control Note</x:t>
        </x:is>
      </x:c>
      <x:c r="B3" s="8" t="inlineStr">
        <x:is>
          <x:t xml:space="preserve">Populate / import source data first, then review formula-driven sheets and clear all CHECK / Yes exceptions before finalization.</x:t>
        </x:is>
      </x:c>
    </x:row>
    <x:row r="4" ht="30" customHeight="1">
      <x:c r="A4" s="4" t="inlineStr">
        <x:is>
          <x:t xml:space="preserve">Check_ID</x:t>
        </x:is>
      </x:c>
      <x:c r="B4" s="4" t="inlineStr">
        <x:is>
          <x:t xml:space="preserve">Check_Name</x:t>
        </x:is>
      </x:c>
      <x:c r="C4" s="4" t="inlineStr">
        <x:is>
          <x:t xml:space="preserve">Source_1_Value</x:t>
        </x:is>
      </x:c>
      <x:c r="D4" s="4" t="inlineStr">
        <x:is>
          <x:t xml:space="preserve">Source_2_Value</x:t>
        </x:is>
      </x:c>
      <x:c r="E4" s="4" t="inlineStr">
        <x:is>
          <x:t xml:space="preserve">Difference_or_Result</x:t>
        </x:is>
      </x:c>
      <x:c r="F4" s="4" t="inlineStr">
        <x:is>
          <x:t xml:space="preserve">Status</x:t>
        </x:is>
      </x:c>
      <x:c r="G4" s="4" t="inlineStr">
        <x:is>
          <x:t xml:space="preserve">Exception_Flag</x:t>
        </x:is>
      </x:c>
      <x:c r="H4" s="4" t="inlineStr">
        <x:is>
          <x:t xml:space="preserve">Owner</x:t>
        </x:is>
      </x:c>
      <x:c r="I4" s="4" t="inlineStr">
        <x:is>
          <x:t xml:space="preserve">Notes</x:t>
        </x:is>
      </x:c>
    </x:row>
    <x:row r="5" ht="20" customHeight="1">
      <x:c r="A5" s="20" t="inlineStr">
        <x:is>
          <x:t xml:space="preserve">RCN-001</x:t>
        </x:is>
      </x:c>
      <x:c r="B5" s="20" t="inlineStr">
        <x:is>
          <x:t xml:space="preserve">Journal debits vs journal credits</x:t>
        </x:is>
      </x:c>
      <x:c r="C5" s="12">
        <x:f>SUM(Journal_Import!$S:$S)</x:f>
        <x:v>1360000</x:v>
      </x:c>
      <x:c r="D5" s="12">
        <x:f>SUM(Journal_Import!$T:$T)</x:f>
        <x:v>1360000</x:v>
      </x:c>
      <x:c r="E5" s="12">
        <x:f>C5-D5</x:f>
        <x:v>0</x:v>
      </x:c>
      <x:c r="F5" s="19" t="str">
        <x:f>IF(ABS(E5)&lt;=0.01,"OK","CHECK")</x:f>
        <x:v>OK</x:v>
      </x:c>
      <x:c r="G5" s="19" t="str">
        <x:f>IF(F5="OK","No","Yes")</x:f>
        <x:v>No</x:v>
      </x:c>
      <x:c r="H5" s="20" t="inlineStr">
        <x:is>
          <x:t xml:space="preserve">Manager</x:t>
        </x:is>
      </x:c>
      <x:c r="I5" s="20" t="inlineStr">
        <x:is>
          <x:t xml:space="preserve"/>
        </x:is>
      </x:c>
    </x:row>
    <x:row r="6" ht="20" customHeight="1">
      <x:c r="A6" s="20" t="inlineStr">
        <x:is>
          <x:t xml:space="preserve">RCN-002</x:t>
        </x:is>
      </x:c>
      <x:c r="B6" s="20" t="inlineStr">
        <x:is>
          <x:t xml:space="preserve">TB closing debit vs TB closing credit</x:t>
        </x:is>
      </x:c>
      <x:c r="C6" s="12">
        <x:f>SUM(TB_Generated!$J:$J)</x:f>
        <x:v>7910000</x:v>
      </x:c>
      <x:c r="D6" s="12">
        <x:f>SUM(TB_Generated!$K:$K)</x:f>
        <x:v>7910000</x:v>
      </x:c>
      <x:c r="E6" s="12">
        <x:f>C6-D6</x:f>
        <x:v>0</x:v>
      </x:c>
      <x:c r="F6" s="19" t="str">
        <x:f>IF(ABS(E6)&lt;=0.01,"OK","CHECK")</x:f>
        <x:v>OK</x:v>
      </x:c>
      <x:c r="G6" s="19" t="str">
        <x:f>IF(F6="OK","No","Yes")</x:f>
        <x:v>No</x:v>
      </x:c>
      <x:c r="H6" s="20" t="inlineStr">
        <x:is>
          <x:t xml:space="preserve">Manager</x:t>
        </x:is>
      </x:c>
      <x:c r="I6" s="20" t="inlineStr">
        <x:is>
          <x:t xml:space="preserve"/>
        </x:is>
      </x:c>
    </x:row>
    <x:row r="7" ht="20" customHeight="1">
      <x:c r="A7" s="20" t="inlineStr">
        <x:is>
          <x:t xml:space="preserve">RCN-003</x:t>
        </x:is>
      </x:c>
      <x:c r="B7" s="20" t="inlineStr">
        <x:is>
          <x:t xml:space="preserve">COA vs TB mismatch count</x:t>
        </x:is>
      </x:c>
      <x:c r="C7" s="12">
        <x:f>COUNTIF(TB_Generated!$N$6:$N$125,"CHECK")</x:f>
        <x:v>0</x:v>
      </x:c>
      <x:c r="D7" s="12">
        <x:f>0</x:f>
        <x:v>0</x:v>
      </x:c>
      <x:c r="E7" s="12">
        <x:f>C7-D7</x:f>
        <x:v>0</x:v>
      </x:c>
      <x:c r="F7" s="19" t="str">
        <x:f>IF(C7=0,"OK","CHECK")</x:f>
        <x:v>OK</x:v>
      </x:c>
      <x:c r="G7" s="19" t="str">
        <x:f>IF(F7="OK","No","Yes")</x:f>
        <x:v>No</x:v>
      </x:c>
      <x:c r="H7" s="20" t="inlineStr">
        <x:is>
          <x:t xml:space="preserve">Senior</x:t>
        </x:is>
      </x:c>
      <x:c r="I7" s="20" t="inlineStr">
        <x:is>
          <x:t xml:space="preserve"/>
        </x:is>
      </x:c>
    </x:row>
    <x:row r="8" ht="20" customHeight="1">
      <x:c r="A8" s="20" t="inlineStr">
        <x:is>
          <x:t xml:space="preserve">RCN-004</x:t>
        </x:is>
      </x:c>
      <x:c r="B8" s="20" t="inlineStr">
        <x:is>
          <x:t xml:space="preserve">FS extraction vs mapped total</x:t>
        </x:is>
      </x:c>
      <x:c r="C8" s="12">
        <x:f>SUM(FS_Extraction_Staging!$I:$I)</x:f>
        <x:v>6100000</x:v>
      </x:c>
      <x:c r="D8" s="12">
        <x:f>SUM(FS_Mapping!$G:$G)</x:f>
        <x:v>6100000</x:v>
      </x:c>
      <x:c r="E8" s="12">
        <x:f>C8-D8</x:f>
        <x:v>0</x:v>
      </x:c>
      <x:c r="F8" s="19" t="str">
        <x:f>IF(ABS(E8)&lt;=0.01,"OK","CHECK")</x:f>
        <x:v>OK</x:v>
      </x:c>
      <x:c r="G8" s="19" t="str">
        <x:f>IF(F8="OK","No","Yes")</x:f>
        <x:v>No</x:v>
      </x:c>
      <x:c r="H8" s="20" t="inlineStr">
        <x:is>
          <x:t xml:space="preserve">Senior</x:t>
        </x:is>
      </x:c>
      <x:c r="I8" s="20" t="inlineStr">
        <x:is>
          <x:t xml:space="preserve"/>
        </x:is>
      </x:c>
    </x:row>
  </x:sheetData>
  <x:mergeCells>
    <x:mergeCell ref="A1:I1"/>
    <x:mergeCell ref="A2:I2"/>
    <x:mergeCell ref="B3:F3"/>
  </x:mergeCells>
  <x:conditionalFormatting sqref="G5:G308">
    <x:cfRule type="expression" dxfId="0" priority="1">
      <x:formula>$G5="Yes"</x:formula>
    </x:cfRule>
  </x:conditionalFormatting>
  <x:conditionalFormatting sqref="F5:F58">
    <x:cfRule type="expression" dxfId="0" priority="2">
      <x:formula>$F5="CHECK"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e97182afd6a42f6"/>
  </x:tableParts>
</x:worksheet>
</file>

<file path=xl/worksheets/sheet20.xml><?xml version="1.0" encoding="utf-8"?>
<x:worksheet xmlns:x="http://schemas.openxmlformats.org/spreadsheetml/2006/main">
  <x:sheetPr>
    <x:tabColor rgb="001F4E78"/>
  </x:sheetPr>
  <x:sheetViews>
    <x:sheetView showGridLines="0" workbookViewId="0"/>
  </x:sheetViews>
  <x:sheetFormatPr baseColWidth="8" defaultRowHeight="15"/>
  <x:cols>
    <x:col min="1" max="1" width="22" customWidth="1"/>
    <x:col min="2" max="2" width="24" customWidth="1"/>
    <x:col min="3" max="3" width="18" customWidth="1"/>
    <x:col min="4" max="4" width="12" customWidth="1"/>
    <x:col min="5" max="5" width="36" customWidth="1"/>
    <x:col min="6" max="6" width="28" customWidth="1"/>
    <x:col min="7" max="7" width="20" customWidth="1"/>
  </x:cols>
  <x:sheetData>
    <x:row r="1" ht="24" customHeight="1">
      <x:c r="A1" s="1" t="inlineStr">
        <x:is>
          <x:t xml:space="preserve">Data_Dictionary</x:t>
        </x:is>
      </x:c>
    </x:row>
    <x:row r="2" ht="36" customHeight="1">
      <x:c r="A2" s="2" t="inlineStr">
        <x:is>
          <x:t xml:space="preserve">Backend specification of every field in this workbook.</x:t>
        </x:is>
      </x:c>
    </x:row>
    <x:row r="4" ht="30" customHeight="1">
      <x:c r="A4" s="4" t="inlineStr">
        <x:is>
          <x:t xml:space="preserve">Sheet_Name</x:t>
        </x:is>
      </x:c>
      <x:c r="B4" s="4" t="inlineStr">
        <x:is>
          <x:t xml:space="preserve">Field_Name</x:t>
        </x:is>
      </x:c>
      <x:c r="C4" s="4" t="inlineStr">
        <x:is>
          <x:t xml:space="preserve">Data_Type</x:t>
        </x:is>
      </x:c>
      <x:c r="D4" s="4" t="inlineStr">
        <x:is>
          <x:t xml:space="preserve">Mandatory</x:t>
        </x:is>
      </x:c>
      <x:c r="E4" s="4" t="inlineStr">
        <x:is>
          <x:t xml:space="preserve">Description</x:t>
        </x:is>
      </x:c>
      <x:c r="F4" s="4" t="inlineStr">
        <x:is>
          <x:t xml:space="preserve">Example_or_Notes</x:t>
        </x:is>
      </x:c>
      <x:c r="G4" s="4" t="inlineStr">
        <x:is>
          <x:t xml:space="preserve">Backend_Table</x:t>
        </x:is>
      </x:c>
    </x:row>
    <x:row r="5" ht="20" customHeight="1">
      <x:c r="A5" s="20" t="inlineStr">
        <x:is>
          <x:t xml:space="preserve">Entity_Profile</x:t>
        </x:is>
      </x:c>
      <x:c r="B5" s="20" t="inlineStr">
        <x:is>
          <x:t xml:space="preserve">Engagement_ID</x:t>
        </x:is>
      </x:c>
      <x:c r="C5" s="21" t="inlineStr">
        <x:is>
          <x:t xml:space="preserve">Text</x:t>
        </x:is>
      </x:c>
      <x:c r="D5" s="21" t="inlineStr">
        <x:is>
          <x:t xml:space="preserve">Yes</x:t>
        </x:is>
      </x:c>
      <x:c r="E5" s="20" t="inlineStr">
        <x:is>
          <x:t xml:space="preserve">Unique engagement code</x:t>
        </x:is>
      </x:c>
      <x:c r="F5" s="20" t="inlineStr">
        <x:is>
          <x:t xml:space="preserve">ENG-001</x:t>
        </x:is>
      </x:c>
      <x:c r="G5" s="21" t="inlineStr">
        <x:is>
          <x:t xml:space="preserve">ENTITY_PROFILE</x:t>
        </x:is>
      </x:c>
    </x:row>
    <x:row r="6" ht="20" customHeight="1">
      <x:c r="A6" s="20" t="inlineStr">
        <x:is>
          <x:t xml:space="preserve">Entity_Profile</x:t>
        </x:is>
      </x:c>
      <x:c r="B6" s="20" t="inlineStr">
        <x:is>
          <x:t xml:space="preserve">Client_Name</x:t>
        </x:is>
      </x:c>
      <x:c r="C6" s="21" t="inlineStr">
        <x:is>
          <x:t xml:space="preserve">Text</x:t>
        </x:is>
      </x:c>
      <x:c r="D6" s="21" t="inlineStr">
        <x:is>
          <x:t xml:space="preserve">Yes</x:t>
        </x:is>
      </x:c>
      <x:c r="E6" s="20" t="inlineStr">
        <x:is>
          <x:t xml:space="preserve">Legal entity name</x:t>
        </x:is>
      </x:c>
      <x:c r="F6" s="20" t="inlineStr">
        <x:is>
          <x:t xml:space="preserve">ABC Manufacturing (Private) Limited</x:t>
        </x:is>
      </x:c>
      <x:c r="G6" s="21" t="inlineStr">
        <x:is>
          <x:t xml:space="preserve">ENTITY_PROFILE</x:t>
        </x:is>
      </x:c>
    </x:row>
    <x:row r="7" ht="20" customHeight="1">
      <x:c r="A7" s="20" t="inlineStr">
        <x:is>
          <x:t xml:space="preserve">Entity_Profile</x:t>
        </x:is>
      </x:c>
      <x:c r="B7" s="20" t="inlineStr">
        <x:is>
          <x:t xml:space="preserve">Client_Code</x:t>
        </x:is>
      </x:c>
      <x:c r="C7" s="21" t="inlineStr">
        <x:is>
          <x:t xml:space="preserve">Text</x:t>
        </x:is>
      </x:c>
      <x:c r="D7" s="21" t="inlineStr">
        <x:is>
          <x:t xml:space="preserve">No</x:t>
        </x:is>
      </x:c>
      <x:c r="E7" s="20" t="inlineStr">
        <x:is>
          <x:t xml:space="preserve">Internal client code</x:t>
        </x:is>
      </x:c>
      <x:c r="F7" s="20" t="inlineStr">
        <x:is>
          <x:t xml:space="preserve">ABC-ML</x:t>
        </x:is>
      </x:c>
      <x:c r="G7" s="21" t="inlineStr">
        <x:is>
          <x:t xml:space="preserve">ENTITY_PROFILE</x:t>
        </x:is>
      </x:c>
    </x:row>
    <x:row r="8" ht="20" customHeight="1">
      <x:c r="A8" s="20" t="inlineStr">
        <x:is>
          <x:t xml:space="preserve">Entity_Profile</x:t>
        </x:is>
      </x:c>
      <x:c r="B8" s="20" t="inlineStr">
        <x:is>
          <x:t xml:space="preserve">Registration_No</x:t>
        </x:is>
      </x:c>
      <x:c r="C8" s="21" t="inlineStr">
        <x:is>
          <x:t xml:space="preserve">Text</x:t>
        </x:is>
      </x:c>
      <x:c r="D8" s="21" t="inlineStr">
        <x:is>
          <x:t xml:space="preserve">No</x:t>
        </x:is>
      </x:c>
      <x:c r="E8" s="20" t="inlineStr">
        <x:is>
          <x:t xml:space="preserve">Registration / NTN / SECP / donor code</x:t>
        </x:is>
      </x:c>
      <x:c r="F8" s="20" t="inlineStr">
        <x:is>
          <x:t xml:space="preserve">NTN/SECP-EXAMPLE</x:t>
        </x:is>
      </x:c>
      <x:c r="G8" s="21" t="inlineStr">
        <x:is>
          <x:t xml:space="preserve">ENTITY_PROFILE</x:t>
        </x:is>
      </x:c>
    </x:row>
    <x:row r="9" ht="20" customHeight="1">
      <x:c r="A9" s="20" t="inlineStr">
        <x:is>
          <x:t xml:space="preserve">Entity_Profile</x:t>
        </x:is>
      </x:c>
      <x:c r="B9" s="20" t="inlineStr">
        <x:is>
          <x:t xml:space="preserve">Entity_Type</x:t>
        </x:is>
      </x:c>
      <x:c r="C9" s="21" t="inlineStr">
        <x:is>
          <x:t xml:space="preserve">Dropdown:Entity_Type</x:t>
        </x:is>
      </x:c>
      <x:c r="D9" s="21" t="inlineStr">
        <x:is>
          <x:t xml:space="preserve">Yes</x:t>
        </x:is>
      </x:c>
      <x:c r="E9" s="20" t="inlineStr">
        <x:is>
          <x:t xml:space="preserve">Entity classification</x:t>
        </x:is>
      </x:c>
      <x:c r="F9" s="20" t="inlineStr">
        <x:is>
          <x:t xml:space="preserve">Private Limited</x:t>
        </x:is>
      </x:c>
      <x:c r="G9" s="21" t="inlineStr">
        <x:is>
          <x:t xml:space="preserve">ENTITY_PROFILE</x:t>
        </x:is>
      </x:c>
    </x:row>
    <x:row r="10" ht="20" customHeight="1">
      <x:c r="A10" s="20" t="inlineStr">
        <x:is>
          <x:t xml:space="preserve">Entity_Profile</x:t>
        </x:is>
      </x:c>
      <x:c r="B10" s="20" t="inlineStr">
        <x:is>
          <x:t xml:space="preserve">Industry_Type</x:t>
        </x:is>
      </x:c>
      <x:c r="C10" s="21" t="inlineStr">
        <x:is>
          <x:t xml:space="preserve">Dropdown:Industry_Type</x:t>
        </x:is>
      </x:c>
      <x:c r="D10" s="21" t="inlineStr">
        <x:is>
          <x:t xml:space="preserve">Yes</x:t>
        </x:is>
      </x:c>
      <x:c r="E10" s="20" t="inlineStr">
        <x:is>
          <x:t xml:space="preserve">Industry / sector</x:t>
        </x:is>
      </x:c>
      <x:c r="F10" s="20" t="inlineStr">
        <x:is>
          <x:t xml:space="preserve">Manufacturing</x:t>
        </x:is>
      </x:c>
      <x:c r="G10" s="21" t="inlineStr">
        <x:is>
          <x:t xml:space="preserve">ENTITY_PROFILE</x:t>
        </x:is>
      </x:c>
    </x:row>
    <x:row r="11" ht="20" customHeight="1">
      <x:c r="A11" s="20" t="inlineStr">
        <x:is>
          <x:t xml:space="preserve">Entity_Profile</x:t>
        </x:is>
      </x:c>
      <x:c r="B11" s="20" t="inlineStr">
        <x:is>
          <x:t xml:space="preserve">Financial_Year_Start</x:t>
        </x:is>
      </x:c>
      <x:c r="C11" s="21" t="inlineStr">
        <x:is>
          <x:t xml:space="preserve">Date</x:t>
        </x:is>
      </x:c>
      <x:c r="D11" s="21" t="inlineStr">
        <x:is>
          <x:t xml:space="preserve">Yes</x:t>
        </x:is>
      </x:c>
      <x:c r="E11" s="20" t="inlineStr">
        <x:is>
          <x:t xml:space="preserve">Start date of audit period</x:t>
        </x:is>
      </x:c>
      <x:c r="F11" s="20" t="inlineStr">
        <x:is>
          <x:t xml:space="preserve">2024-07-01</x:t>
        </x:is>
      </x:c>
      <x:c r="G11" s="21" t="inlineStr">
        <x:is>
          <x:t xml:space="preserve">ENTITY_PROFILE</x:t>
        </x:is>
      </x:c>
    </x:row>
    <x:row r="12" ht="20" customHeight="1">
      <x:c r="A12" s="20" t="inlineStr">
        <x:is>
          <x:t xml:space="preserve">Entity_Profile</x:t>
        </x:is>
      </x:c>
      <x:c r="B12" s="20" t="inlineStr">
        <x:is>
          <x:t xml:space="preserve">Financial_Year_End</x:t>
        </x:is>
      </x:c>
      <x:c r="C12" s="21" t="inlineStr">
        <x:is>
          <x:t xml:space="preserve">Date</x:t>
        </x:is>
      </x:c>
      <x:c r="D12" s="21" t="inlineStr">
        <x:is>
          <x:t xml:space="preserve">Yes</x:t>
        </x:is>
      </x:c>
      <x:c r="E12" s="20" t="inlineStr">
        <x:is>
          <x:t xml:space="preserve">End date of audit period</x:t>
        </x:is>
      </x:c>
      <x:c r="F12" s="20" t="inlineStr">
        <x:is>
          <x:t xml:space="preserve">2025-06-30</x:t>
        </x:is>
      </x:c>
      <x:c r="G12" s="21" t="inlineStr">
        <x:is>
          <x:t xml:space="preserve">ENTITY_PROFILE</x:t>
        </x:is>
      </x:c>
    </x:row>
    <x:row r="13" ht="20" customHeight="1">
      <x:c r="A13" s="20" t="inlineStr">
        <x:is>
          <x:t xml:space="preserve">Entity_Profile</x:t>
        </x:is>
      </x:c>
      <x:c r="B13" s="20" t="inlineStr">
        <x:is>
          <x:t xml:space="preserve">Reporting_Framework</x:t>
        </x:is>
      </x:c>
      <x:c r="C13" s="21" t="inlineStr">
        <x:is>
          <x:t xml:space="preserve">Dropdown:Reporting_Framework</x:t>
        </x:is>
      </x:c>
      <x:c r="D13" s="21" t="inlineStr">
        <x:is>
          <x:t xml:space="preserve">Yes</x:t>
        </x:is>
      </x:c>
      <x:c r="E13" s="20" t="inlineStr">
        <x:is>
          <x:t xml:space="preserve">Reporting basis</x:t>
        </x:is>
      </x:c>
      <x:c r="F13" s="20" t="inlineStr">
        <x:is>
          <x:t xml:space="preserve">IFRS</x:t>
        </x:is>
      </x:c>
      <x:c r="G13" s="21" t="inlineStr">
        <x:is>
          <x:t xml:space="preserve">ENTITY_PROFILE</x:t>
        </x:is>
      </x:c>
    </x:row>
    <x:row r="14" ht="20" customHeight="1">
      <x:c r="A14" s="20" t="inlineStr">
        <x:is>
          <x:t xml:space="preserve">Entity_Profile</x:t>
        </x:is>
      </x:c>
      <x:c r="B14" s="20" t="inlineStr">
        <x:is>
          <x:t xml:space="preserve">Audit_Type</x:t>
        </x:is>
      </x:c>
      <x:c r="C14" s="21" t="inlineStr">
        <x:is>
          <x:t xml:space="preserve">Dropdown:Audit_Type</x:t>
        </x:is>
      </x:c>
      <x:c r="D14" s="21" t="inlineStr">
        <x:is>
          <x:t xml:space="preserve">Yes</x:t>
        </x:is>
      </x:c>
      <x:c r="E14" s="20" t="inlineStr">
        <x:is>
          <x:t xml:space="preserve">Engagement type</x:t>
        </x:is>
      </x:c>
      <x:c r="F14" s="20" t="inlineStr">
        <x:is>
          <x:t xml:space="preserve">Statutory Audit</x:t>
        </x:is>
      </x:c>
      <x:c r="G14" s="21" t="inlineStr">
        <x:is>
          <x:t xml:space="preserve">ENTITY_PROFILE</x:t>
        </x:is>
      </x:c>
    </x:row>
    <x:row r="15" ht="20" customHeight="1">
      <x:c r="A15" s="20" t="inlineStr">
        <x:is>
          <x:t xml:space="preserve">Entity_Profile</x:t>
        </x:is>
      </x:c>
      <x:c r="B15" s="20" t="inlineStr">
        <x:is>
          <x:t xml:space="preserve">Functional_Currency</x:t>
        </x:is>
      </x:c>
      <x:c r="C15" s="21" t="inlineStr">
        <x:is>
          <x:t xml:space="preserve">Text</x:t>
        </x:is>
      </x:c>
      <x:c r="D15" s="21" t="inlineStr">
        <x:is>
          <x:t xml:space="preserve">Yes</x:t>
        </x:is>
      </x:c>
      <x:c r="E15" s="20" t="inlineStr">
        <x:is>
          <x:t xml:space="preserve">Functional currency</x:t>
        </x:is>
      </x:c>
      <x:c r="F15" s="20" t="inlineStr">
        <x:is>
          <x:t xml:space="preserve">PKR</x:t>
        </x:is>
      </x:c>
      <x:c r="G15" s="21" t="inlineStr">
        <x:is>
          <x:t xml:space="preserve">ENTITY_PROFILE</x:t>
        </x:is>
      </x:c>
    </x:row>
    <x:row r="16" ht="20" customHeight="1">
      <x:c r="A16" s="20" t="inlineStr">
        <x:is>
          <x:t xml:space="preserve">Entity_Profile</x:t>
        </x:is>
      </x:c>
      <x:c r="B16" s="20" t="inlineStr">
        <x:is>
          <x:t xml:space="preserve">Presentation_Currency</x:t>
        </x:is>
      </x:c>
      <x:c r="C16" s="21" t="inlineStr">
        <x:is>
          <x:t xml:space="preserve">Text</x:t>
        </x:is>
      </x:c>
      <x:c r="D16" s="21" t="inlineStr">
        <x:is>
          <x:t xml:space="preserve">Yes</x:t>
        </x:is>
      </x:c>
      <x:c r="E16" s="20" t="inlineStr">
        <x:is>
          <x:t xml:space="preserve">Presentation currency</x:t>
        </x:is>
      </x:c>
      <x:c r="F16" s="20" t="inlineStr">
        <x:is>
          <x:t xml:space="preserve">PKR</x:t>
        </x:is>
      </x:c>
      <x:c r="G16" s="21" t="inlineStr">
        <x:is>
          <x:t xml:space="preserve">ENTITY_PROFILE</x:t>
        </x:is>
      </x:c>
    </x:row>
    <x:row r="17" ht="20" customHeight="1">
      <x:c r="A17" s="20" t="inlineStr">
        <x:is>
          <x:t xml:space="preserve">Entity_Profile</x:t>
        </x:is>
      </x:c>
      <x:c r="B17" s="20" t="inlineStr">
        <x:is>
          <x:t xml:space="preserve">Materiality_Amount</x:t>
        </x:is>
      </x:c>
      <x:c r="C17" s="21" t="inlineStr">
        <x:is>
          <x:t xml:space="preserve">Number</x:t>
        </x:is>
      </x:c>
      <x:c r="D17" s="21" t="inlineStr">
        <x:is>
          <x:t xml:space="preserve">Yes</x:t>
        </x:is>
      </x:c>
      <x:c r="E17" s="20" t="inlineStr">
        <x:is>
          <x:t xml:space="preserve">Overall planning materiality</x:t>
        </x:is>
      </x:c>
      <x:c r="F17" s="20" t="inlineStr">
        <x:is>
          <x:t xml:space="preserve">2000000</x:t>
        </x:is>
      </x:c>
      <x:c r="G17" s="21" t="inlineStr">
        <x:is>
          <x:t xml:space="preserve">ENTITY_PROFILE</x:t>
        </x:is>
      </x:c>
    </x:row>
    <x:row r="18" ht="20" customHeight="1">
      <x:c r="A18" s="20" t="inlineStr">
        <x:is>
          <x:t xml:space="preserve">Entity_Profile</x:t>
        </x:is>
      </x:c>
      <x:c r="B18" s="20" t="inlineStr">
        <x:is>
          <x:t xml:space="preserve">Performance_Materiality</x:t>
        </x:is>
      </x:c>
      <x:c r="C18" s="21" t="inlineStr">
        <x:is>
          <x:t xml:space="preserve">Number</x:t>
        </x:is>
      </x:c>
      <x:c r="D18" s="21" t="inlineStr">
        <x:is>
          <x:t xml:space="preserve">Yes</x:t>
        </x:is>
      </x:c>
      <x:c r="E18" s="20" t="inlineStr">
        <x:is>
          <x:t xml:space="preserve">Performance materiality</x:t>
        </x:is>
      </x:c>
      <x:c r="F18" s="20" t="inlineStr">
        <x:is>
          <x:t xml:space="preserve">1500000</x:t>
        </x:is>
      </x:c>
      <x:c r="G18" s="21" t="inlineStr">
        <x:is>
          <x:t xml:space="preserve">ENTITY_PROFILE</x:t>
        </x:is>
      </x:c>
    </x:row>
    <x:row r="19" ht="20" customHeight="1">
      <x:c r="A19" s="20" t="inlineStr">
        <x:is>
          <x:t xml:space="preserve">Entity_Profile</x:t>
        </x:is>
      </x:c>
      <x:c r="B19" s="20" t="inlineStr">
        <x:is>
          <x:t xml:space="preserve">Triviality_Threshold</x:t>
        </x:is>
      </x:c>
      <x:c r="C19" s="21" t="inlineStr">
        <x:is>
          <x:t xml:space="preserve">Number</x:t>
        </x:is>
      </x:c>
      <x:c r="D19" s="21" t="inlineStr">
        <x:is>
          <x:t xml:space="preserve">Yes</x:t>
        </x:is>
      </x:c>
      <x:c r="E19" s="20" t="inlineStr">
        <x:is>
          <x:t xml:space="preserve">Posting threshold</x:t>
        </x:is>
      </x:c>
      <x:c r="F19" s="20" t="inlineStr">
        <x:is>
          <x:t xml:space="preserve">50000</x:t>
        </x:is>
      </x:c>
      <x:c r="G19" s="21" t="inlineStr">
        <x:is>
          <x:t xml:space="preserve">ENTITY_PROFILE</x:t>
        </x:is>
      </x:c>
    </x:row>
    <x:row r="20" ht="20" customHeight="1">
      <x:c r="A20" s="20" t="inlineStr">
        <x:is>
          <x:t xml:space="preserve">Entity_Profile</x:t>
        </x:is>
      </x:c>
      <x:c r="B20" s="20" t="inlineStr">
        <x:is>
          <x:t xml:space="preserve">Risk_Level_Overall</x:t>
        </x:is>
      </x:c>
      <x:c r="C20" s="21" t="inlineStr">
        <x:is>
          <x:t xml:space="preserve">Dropdown:Risk_Level</x:t>
        </x:is>
      </x:c>
      <x:c r="D20" s="21" t="inlineStr">
        <x:is>
          <x:t xml:space="preserve">Yes</x:t>
        </x:is>
      </x:c>
      <x:c r="E20" s="20" t="inlineStr">
        <x:is>
          <x:t xml:space="preserve">Overall engagement risk</x:t>
        </x:is>
      </x:c>
      <x:c r="F20" s="20" t="inlineStr">
        <x:is>
          <x:t xml:space="preserve">High</x:t>
        </x:is>
      </x:c>
      <x:c r="G20" s="21" t="inlineStr">
        <x:is>
          <x:t xml:space="preserve">ENTITY_PROFILE</x:t>
        </x:is>
      </x:c>
    </x:row>
    <x:row r="21">
      <x:c r="A21" s="20" t="inlineStr">
        <x:is>
          <x:t xml:space="preserve">Entity_Profile</x:t>
        </x:is>
      </x:c>
      <x:c r="B21" s="20" t="inlineStr">
        <x:is>
          <x:t xml:space="preserve">Sampling_Method</x:t>
        </x:is>
      </x:c>
      <x:c r="C21" s="21" t="inlineStr">
        <x:is>
          <x:t xml:space="preserve">Dropdown:Sampling_Method</x:t>
        </x:is>
      </x:c>
      <x:c r="D21" s="21" t="inlineStr">
        <x:is>
          <x:t xml:space="preserve">Yes</x:t>
        </x:is>
      </x:c>
      <x:c r="E21" s="20" t="inlineStr">
        <x:is>
          <x:t xml:space="preserve">Default sampling method</x:t>
        </x:is>
      </x:c>
      <x:c r="F21" s="20" t="inlineStr">
        <x:is>
          <x:t xml:space="preserve">MUS</x:t>
        </x:is>
      </x:c>
      <x:c r="G21" s="21" t="inlineStr">
        <x:is>
          <x:t xml:space="preserve">ENTITY_PROFILE</x:t>
        </x:is>
      </x:c>
    </x:row>
    <x:row r="22">
      <x:c r="A22" s="20" t="inlineStr">
        <x:is>
          <x:t xml:space="preserve">Entity_Profile</x:t>
        </x:is>
      </x:c>
      <x:c r="B22" s="20" t="inlineStr">
        <x:is>
          <x:t xml:space="preserve">Prepared_By</x:t>
        </x:is>
      </x:c>
      <x:c r="C22" s="21" t="inlineStr">
        <x:is>
          <x:t xml:space="preserve">Text</x:t>
        </x:is>
      </x:c>
      <x:c r="D22" s="21" t="inlineStr">
        <x:is>
          <x:t xml:space="preserve">Yes</x:t>
        </x:is>
      </x:c>
      <x:c r="E22" s="20" t="inlineStr">
        <x:is>
          <x:t xml:space="preserve">Preparer</x:t>
        </x:is>
      </x:c>
      <x:c r="F22" s="20" t="inlineStr">
        <x:is>
          <x:t xml:space="preserve">Associate 1</x:t>
        </x:is>
      </x:c>
      <x:c r="G22" s="21" t="inlineStr">
        <x:is>
          <x:t xml:space="preserve">ENTITY_PROFILE</x:t>
        </x:is>
      </x:c>
    </x:row>
    <x:row r="23">
      <x:c r="A23" s="20" t="inlineStr">
        <x:is>
          <x:t xml:space="preserve">Entity_Profile</x:t>
        </x:is>
      </x:c>
      <x:c r="B23" s="20" t="inlineStr">
        <x:is>
          <x:t xml:space="preserve">Reviewed_By</x:t>
        </x:is>
      </x:c>
      <x:c r="C23" s="21" t="inlineStr">
        <x:is>
          <x:t xml:space="preserve">Text</x:t>
        </x:is>
      </x:c>
      <x:c r="D23" s="21" t="inlineStr">
        <x:is>
          <x:t xml:space="preserve">No</x:t>
        </x:is>
      </x:c>
      <x:c r="E23" s="20" t="inlineStr">
        <x:is>
          <x:t xml:space="preserve">Reviewer</x:t>
        </x:is>
      </x:c>
      <x:c r="F23" s="20" t="inlineStr">
        <x:is>
          <x:t xml:space="preserve">Manager 1</x:t>
        </x:is>
      </x:c>
      <x:c r="G23" s="21" t="inlineStr">
        <x:is>
          <x:t xml:space="preserve">ENTITY_PROFILE</x:t>
        </x:is>
      </x:c>
    </x:row>
    <x:row r="24">
      <x:c r="A24" s="20" t="inlineStr">
        <x:is>
          <x:t xml:space="preserve">Entity_Profile</x:t>
        </x:is>
      </x:c>
      <x:c r="B24" s="20" t="inlineStr">
        <x:is>
          <x:t xml:space="preserve">Approved_By</x:t>
        </x:is>
      </x:c>
      <x:c r="C24" s="21" t="inlineStr">
        <x:is>
          <x:t xml:space="preserve">Text</x:t>
        </x:is>
      </x:c>
      <x:c r="D24" s="21" t="inlineStr">
        <x:is>
          <x:t xml:space="preserve">No</x:t>
        </x:is>
      </x:c>
      <x:c r="E24" s="20" t="inlineStr">
        <x:is>
          <x:t xml:space="preserve">Approver / partner</x:t>
        </x:is>
      </x:c>
      <x:c r="F24" s="20" t="inlineStr">
        <x:is>
          <x:t xml:space="preserve">Partner 1</x:t>
        </x:is>
      </x:c>
      <x:c r="G24" s="21" t="inlineStr">
        <x:is>
          <x:t xml:space="preserve">ENTITY_PROFILE</x:t>
        </x:is>
      </x:c>
    </x:row>
    <x:row r="25">
      <x:c r="A25" s="20" t="inlineStr">
        <x:is>
          <x:t xml:space="preserve">Entity_Profile</x:t>
        </x:is>
      </x:c>
      <x:c r="B25" s="20" t="inlineStr">
        <x:is>
          <x:t xml:space="preserve">Engagement_Status</x:t>
        </x:is>
      </x:c>
      <x:c r="C25" s="21" t="inlineStr">
        <x:is>
          <x:t xml:space="preserve">Dropdown:Engagement_Status</x:t>
        </x:is>
      </x:c>
      <x:c r="D25" s="21" t="inlineStr">
        <x:is>
          <x:t xml:space="preserve">Yes</x:t>
        </x:is>
      </x:c>
      <x:c r="E25" s="20" t="inlineStr">
        <x:is>
          <x:t xml:space="preserve">Workflow status</x:t>
        </x:is>
      </x:c>
      <x:c r="F25" s="20" t="inlineStr">
        <x:is>
          <x:t xml:space="preserve">Planning</x:t>
        </x:is>
      </x:c>
      <x:c r="G25" s="21" t="inlineStr">
        <x:is>
          <x:t xml:space="preserve">ENTITY_PROFILE</x:t>
        </x:is>
      </x:c>
    </x:row>
    <x:row r="26">
      <x:c r="A26" s="20" t="inlineStr">
        <x:is>
          <x:t xml:space="preserve">Entity_Profile</x:t>
        </x:is>
      </x:c>
      <x:c r="B26" s="20" t="inlineStr">
        <x:is>
          <x:t xml:space="preserve">Version_No</x:t>
        </x:is>
      </x:c>
      <x:c r="C26" s="21" t="inlineStr">
        <x:is>
          <x:t xml:space="preserve">Text</x:t>
        </x:is>
      </x:c>
      <x:c r="D26" s="21" t="inlineStr">
        <x:is>
          <x:t xml:space="preserve">Yes</x:t>
        </x:is>
      </x:c>
      <x:c r="E26" s="20" t="inlineStr">
        <x:is>
          <x:t xml:space="preserve">Template or engagement version</x:t>
        </x:is>
      </x:c>
      <x:c r="F26" s="20" t="inlineStr">
        <x:is>
          <x:t xml:space="preserve">v1.0</x:t>
        </x:is>
      </x:c>
      <x:c r="G26" s="21" t="inlineStr">
        <x:is>
          <x:t xml:space="preserve">ENTITY_PROFILE</x:t>
        </x:is>
      </x:c>
    </x:row>
    <x:row r="27">
      <x:c r="A27" s="20" t="inlineStr">
        <x:is>
          <x:t xml:space="preserve">Entity_Profile</x:t>
        </x:is>
      </x:c>
      <x:c r="B27" s="20" t="inlineStr">
        <x:is>
          <x:t xml:space="preserve">Created_Timestamp</x:t>
        </x:is>
      </x:c>
      <x:c r="C27" s="21" t="inlineStr">
        <x:is>
          <x:t xml:space="preserve">DateTime</x:t>
        </x:is>
      </x:c>
      <x:c r="D27" s="21" t="inlineStr">
        <x:is>
          <x:t xml:space="preserve">Yes</x:t>
        </x:is>
      </x:c>
      <x:c r="E27" s="20" t="inlineStr">
        <x:is>
          <x:t xml:space="preserve">Created timestamp</x:t>
        </x:is>
      </x:c>
      <x:c r="F27" s="20" t="inlineStr">
        <x:is>
          <x:t xml:space="preserve">2026-04-04 09:00:00</x:t>
        </x:is>
      </x:c>
      <x:c r="G27" s="21" t="inlineStr">
        <x:is>
          <x:t xml:space="preserve">ENTITY_PROFILE</x:t>
        </x:is>
      </x:c>
    </x:row>
    <x:row r="28">
      <x:c r="A28" s="20" t="inlineStr">
        <x:is>
          <x:t xml:space="preserve">Entity_Profile</x:t>
        </x:is>
      </x:c>
      <x:c r="B28" s="20" t="inlineStr">
        <x:is>
          <x:t xml:space="preserve">Last_Updated_Timestamp</x:t>
        </x:is>
      </x:c>
      <x:c r="C28" s="21" t="inlineStr">
        <x:is>
          <x:t xml:space="preserve">DateTime</x:t>
        </x:is>
      </x:c>
      <x:c r="D28" s="21" t="inlineStr">
        <x:is>
          <x:t xml:space="preserve">Yes</x:t>
        </x:is>
      </x:c>
      <x:c r="E28" s="20" t="inlineStr">
        <x:is>
          <x:t xml:space="preserve">Updated timestamp</x:t>
        </x:is>
      </x:c>
      <x:c r="F28" s="20" t="inlineStr">
        <x:is>
          <x:t xml:space="preserve">2026-04-04 09:00:00</x:t>
        </x:is>
      </x:c>
      <x:c r="G28" s="21" t="inlineStr">
        <x:is>
          <x:t xml:space="preserve">ENTITY_PROFILE</x:t>
        </x:is>
      </x:c>
    </x:row>
    <x:row r="29">
      <x:c r="A29" s="20" t="inlineStr">
        <x:is>
          <x:t xml:space="preserve">COA_Master</x:t>
        </x:is>
      </x:c>
      <x:c r="B29" s="20" t="inlineStr">
        <x:is>
          <x:t xml:space="preserve">Account_Code</x:t>
        </x:is>
      </x:c>
      <x:c r="C29" s="21" t="inlineStr">
        <x:is>
          <x:t xml:space="preserve">Text</x:t>
        </x:is>
      </x:c>
      <x:c r="D29" s="21" t="inlineStr">
        <x:is>
          <x:t xml:space="preserve">Yes</x:t>
        </x:is>
      </x:c>
      <x:c r="E29" s="20" t="inlineStr">
        <x:is>
          <x:t xml:space="preserve">Unique hierarchical account code</x:t>
        </x:is>
      </x:c>
      <x:c r="F29" s="20" t="inlineStr">
        <x:is>
          <x:t xml:space="preserve">110101</x:t>
        </x:is>
      </x:c>
      <x:c r="G29" s="21" t="inlineStr">
        <x:is>
          <x:t xml:space="preserve">COA_MASTER</x:t>
        </x:is>
      </x:c>
    </x:row>
    <x:row r="30">
      <x:c r="A30" s="20" t="inlineStr">
        <x:is>
          <x:t xml:space="preserve">COA_Master</x:t>
        </x:is>
      </x:c>
      <x:c r="B30" s="20" t="inlineStr">
        <x:is>
          <x:t xml:space="preserve">Parent_Code</x:t>
        </x:is>
      </x:c>
      <x:c r="C30" s="21" t="inlineStr">
        <x:is>
          <x:t xml:space="preserve">Text</x:t>
        </x:is>
      </x:c>
      <x:c r="D30" s="21" t="inlineStr">
        <x:is>
          <x:t xml:space="preserve">Yes</x:t>
        </x:is>
      </x:c>
      <x:c r="E30" s="20" t="inlineStr">
        <x:is>
          <x:t xml:space="preserve">Parent roll-up code</x:t>
        </x:is>
      </x:c>
      <x:c r="F30" s="20" t="inlineStr">
        <x:is>
          <x:t xml:space="preserve">1101</x:t>
        </x:is>
      </x:c>
      <x:c r="G30" s="21" t="inlineStr">
        <x:is>
          <x:t xml:space="preserve">COA_MASTER</x:t>
        </x:is>
      </x:c>
    </x:row>
    <x:row r="31">
      <x:c r="A31" s="20" t="inlineStr">
        <x:is>
          <x:t xml:space="preserve">COA_Master</x:t>
        </x:is>
      </x:c>
      <x:c r="B31" s="20" t="inlineStr">
        <x:is>
          <x:t xml:space="preserve">Account_Name</x:t>
        </x:is>
      </x:c>
      <x:c r="C31" s="21" t="inlineStr">
        <x:is>
          <x:t xml:space="preserve">Text</x:t>
        </x:is>
      </x:c>
      <x:c r="D31" s="21" t="inlineStr">
        <x:is>
          <x:t xml:space="preserve">Yes</x:t>
        </x:is>
      </x:c>
      <x:c r="E31" s="20" t="inlineStr">
        <x:is>
          <x:t xml:space="preserve">Standardized account name</x:t>
        </x:is>
      </x:c>
      <x:c r="F31" s="20" t="inlineStr">
        <x:is>
          <x:t xml:space="preserve">Land</x:t>
        </x:is>
      </x:c>
      <x:c r="G31" s="21" t="inlineStr">
        <x:is>
          <x:t xml:space="preserve">COA_MASTER</x:t>
        </x:is>
      </x:c>
    </x:row>
    <x:row r="32">
      <x:c r="A32" s="20" t="inlineStr">
        <x:is>
          <x:t xml:space="preserve">COA_Master</x:t>
        </x:is>
      </x:c>
      <x:c r="B32" s="20" t="inlineStr">
        <x:is>
          <x:t xml:space="preserve">FS_Head</x:t>
        </x:is>
      </x:c>
      <x:c r="C32" s="21" t="inlineStr">
        <x:is>
          <x:t xml:space="preserve">Dropdown:FS_Head</x:t>
        </x:is>
      </x:c>
      <x:c r="D32" s="21" t="inlineStr">
        <x:is>
          <x:t xml:space="preserve">Yes</x:t>
        </x:is>
      </x:c>
      <x:c r="E32" s="20" t="inlineStr">
        <x:is>
          <x:t xml:space="preserve">Financial statement head</x:t>
        </x:is>
      </x:c>
      <x:c r="F32" s="20" t="inlineStr">
        <x:is>
          <x:t xml:space="preserve">Non-Current Assets</x:t>
        </x:is>
      </x:c>
      <x:c r="G32" s="21" t="inlineStr">
        <x:is>
          <x:t xml:space="preserve">COA_MASTER</x:t>
        </x:is>
      </x:c>
    </x:row>
    <x:row r="33">
      <x:c r="A33" s="20" t="inlineStr">
        <x:is>
          <x:t xml:space="preserve">COA_Master</x:t>
        </x:is>
      </x:c>
      <x:c r="B33" s="20" t="inlineStr">
        <x:is>
          <x:t xml:space="preserve">FS_Sub_Head</x:t>
        </x:is>
      </x:c>
      <x:c r="C33" s="21" t="inlineStr">
        <x:is>
          <x:t xml:space="preserve">Text</x:t>
        </x:is>
      </x:c>
      <x:c r="D33" s="21" t="inlineStr">
        <x:is>
          <x:t xml:space="preserve">Yes</x:t>
        </x:is>
      </x:c>
      <x:c r="E33" s="20" t="inlineStr">
        <x:is>
          <x:t xml:space="preserve">Financial statement sub-head</x:t>
        </x:is>
      </x:c>
      <x:c r="F33" s="20" t="inlineStr">
        <x:is>
          <x:t xml:space="preserve">Property, Plant &amp; Equipment</x:t>
        </x:is>
      </x:c>
      <x:c r="G33" s="21" t="inlineStr">
        <x:is>
          <x:t xml:space="preserve">COA_MASTER</x:t>
        </x:is>
      </x:c>
    </x:row>
    <x:row r="34">
      <x:c r="A34" s="20" t="inlineStr">
        <x:is>
          <x:t xml:space="preserve">COA_Master</x:t>
        </x:is>
      </x:c>
      <x:c r="B34" s="20" t="inlineStr">
        <x:is>
          <x:t xml:space="preserve">Account_Type</x:t>
        </x:is>
      </x:c>
      <x:c r="C34" s="21" t="inlineStr">
        <x:is>
          <x:t xml:space="preserve">Dropdown:Account_Type</x:t>
        </x:is>
      </x:c>
      <x:c r="D34" s="21" t="inlineStr">
        <x:is>
          <x:t xml:space="preserve">Yes</x:t>
        </x:is>
      </x:c>
      <x:c r="E34" s="20" t="inlineStr">
        <x:is>
          <x:t xml:space="preserve">Asset / Liability / Equity / Income / Expense / Memo</x:t>
        </x:is>
      </x:c>
      <x:c r="F34" s="20" t="inlineStr">
        <x:is>
          <x:t xml:space="preserve">Asset</x:t>
        </x:is>
      </x:c>
      <x:c r="G34" s="21" t="inlineStr">
        <x:is>
          <x:t xml:space="preserve">COA_MASTER</x:t>
        </x:is>
      </x:c>
    </x:row>
    <x:row r="35">
      <x:c r="A35" s="20" t="inlineStr">
        <x:is>
          <x:t xml:space="preserve">COA_Master</x:t>
        </x:is>
      </x:c>
      <x:c r="B35" s="20" t="inlineStr">
        <x:is>
          <x:t xml:space="preserve">Normal_Balance</x:t>
        </x:is>
      </x:c>
      <x:c r="C35" s="21" t="inlineStr">
        <x:is>
          <x:t xml:space="preserve">Dropdown:Normal_Balance</x:t>
        </x:is>
      </x:c>
      <x:c r="D35" s="21" t="inlineStr">
        <x:is>
          <x:t xml:space="preserve">Yes</x:t>
        </x:is>
      </x:c>
      <x:c r="E35" s="20" t="inlineStr">
        <x:is>
          <x:t xml:space="preserve">Natural balance</x:t>
        </x:is>
      </x:c>
      <x:c r="F35" s="20" t="inlineStr">
        <x:is>
          <x:t xml:space="preserve">Debit</x:t>
        </x:is>
      </x:c>
      <x:c r="G35" s="21" t="inlineStr">
        <x:is>
          <x:t xml:space="preserve">COA_MASTER</x:t>
        </x:is>
      </x:c>
    </x:row>
    <x:row r="36">
      <x:c r="A36" s="20" t="inlineStr">
        <x:is>
          <x:t xml:space="preserve">COA_Master</x:t>
        </x:is>
      </x:c>
      <x:c r="B36" s="20" t="inlineStr">
        <x:is>
          <x:t xml:space="preserve">Industry_Tag</x:t>
        </x:is>
      </x:c>
      <x:c r="C36" s="21" t="inlineStr">
        <x:is>
          <x:t xml:space="preserve">Text</x:t>
        </x:is>
      </x:c>
      <x:c r="D36" s="21" t="inlineStr">
        <x:is>
          <x:t xml:space="preserve">Yes</x:t>
        </x:is>
      </x:c>
      <x:c r="E36" s="20" t="inlineStr">
        <x:is>
          <x:t xml:space="preserve">Applicable sectors (comma separated)</x:t>
        </x:is>
      </x:c>
      <x:c r="F36" s="20" t="inlineStr">
        <x:is>
          <x:t xml:space="preserve">Manufacturing,Trading,Services</x:t>
        </x:is>
      </x:c>
      <x:c r="G36" s="21" t="inlineStr">
        <x:is>
          <x:t xml:space="preserve">COA_MASTER</x:t>
        </x:is>
      </x:c>
    </x:row>
    <x:row r="37">
      <x:c r="A37" s="20" t="inlineStr">
        <x:is>
          <x:t xml:space="preserve">COA_Master</x:t>
        </x:is>
      </x:c>
      <x:c r="B37" s="20" t="inlineStr">
        <x:is>
          <x:t xml:space="preserve">Entity_Type_Tag</x:t>
        </x:is>
      </x:c>
      <x:c r="C37" s="21" t="inlineStr">
        <x:is>
          <x:t xml:space="preserve">Text</x:t>
        </x:is>
      </x:c>
      <x:c r="D37" s="21" t="inlineStr">
        <x:is>
          <x:t xml:space="preserve">Yes</x:t>
        </x:is>
      </x:c>
      <x:c r="E37" s="20" t="inlineStr">
        <x:is>
          <x:t xml:space="preserve">Applicable entity types</x:t>
        </x:is>
      </x:c>
      <x:c r="F37" s="20" t="inlineStr">
        <x:is>
          <x:t xml:space="preserve">Private Limited,Public Unlisted,Listed</x:t>
        </x:is>
      </x:c>
      <x:c r="G37" s="21" t="inlineStr">
        <x:is>
          <x:t xml:space="preserve">COA_MASTER</x:t>
        </x:is>
      </x:c>
    </x:row>
    <x:row r="38">
      <x:c r="A38" s="20" t="inlineStr">
        <x:is>
          <x:t xml:space="preserve">COA_Master</x:t>
        </x:is>
      </x:c>
      <x:c r="B38" s="20" t="inlineStr">
        <x:is>
          <x:t xml:space="preserve">IFRS_Reference</x:t>
        </x:is>
      </x:c>
      <x:c r="C38" s="21" t="inlineStr">
        <x:is>
          <x:t xml:space="preserve">Text</x:t>
        </x:is>
      </x:c>
      <x:c r="D38" s="21" t="inlineStr">
        <x:is>
          <x:t xml:space="preserve">No</x:t>
        </x:is>
      </x:c>
      <x:c r="E38" s="20" t="inlineStr">
        <x:is>
          <x:t xml:space="preserve">Relevant IFRS / IAS</x:t>
        </x:is>
      </x:c>
      <x:c r="F38" s="20" t="inlineStr">
        <x:is>
          <x:t xml:space="preserve">IAS 16</x:t>
        </x:is>
      </x:c>
      <x:c r="G38" s="21" t="inlineStr">
        <x:is>
          <x:t xml:space="preserve">COA_MASTER</x:t>
        </x:is>
      </x:c>
    </x:row>
    <x:row r="39">
      <x:c r="A39" s="20" t="inlineStr">
        <x:is>
          <x:t xml:space="preserve">COA_Master</x:t>
        </x:is>
      </x:c>
      <x:c r="B39" s="20" t="inlineStr">
        <x:is>
          <x:t xml:space="preserve">Tax_Treatment</x:t>
        </x:is>
      </x:c>
      <x:c r="C39" s="21" t="inlineStr">
        <x:is>
          <x:t xml:space="preserve">Dropdown:Tax_Treatment</x:t>
        </x:is>
      </x:c>
      <x:c r="D39" s="21" t="inlineStr">
        <x:is>
          <x:t xml:space="preserve">Yes</x:t>
        </x:is>
      </x:c>
      <x:c r="E39" s="20" t="inlineStr">
        <x:is>
          <x:t xml:space="preserve">Tax treatment / workpaper logic</x:t>
        </x:is>
      </x:c>
      <x:c r="F39" s="20" t="inlineStr">
        <x:is>
          <x:t xml:space="preserve">Capital</x:t>
        </x:is>
      </x:c>
      <x:c r="G39" s="21" t="inlineStr">
        <x:is>
          <x:t xml:space="preserve">COA_MASTER</x:t>
        </x:is>
      </x:c>
    </x:row>
    <x:row r="40">
      <x:c r="A40" s="20" t="inlineStr">
        <x:is>
          <x:t xml:space="preserve">COA_Master</x:t>
        </x:is>
      </x:c>
      <x:c r="B40" s="20" t="inlineStr">
        <x:is>
          <x:t xml:space="preserve">Is_Control_Account</x:t>
        </x:is>
      </x:c>
      <x:c r="C40" s="21" t="inlineStr">
        <x:is>
          <x:t xml:space="preserve">Dropdown:YesNo</x:t>
        </x:is>
      </x:c>
      <x:c r="D40" s="21" t="inlineStr">
        <x:is>
          <x:t xml:space="preserve">Yes</x:t>
        </x:is>
      </x:c>
      <x:c r="E40" s="20" t="inlineStr">
        <x:is>
          <x:t xml:space="preserve">Is control account</x:t>
        </x:is>
      </x:c>
      <x:c r="F40" s="20" t="inlineStr">
        <x:is>
          <x:t xml:space="preserve">No</x:t>
        </x:is>
      </x:c>
      <x:c r="G40" s="21" t="inlineStr">
        <x:is>
          <x:t xml:space="preserve">COA_MASTER</x:t>
        </x:is>
      </x:c>
    </x:row>
    <x:row r="41">
      <x:c r="A41" s="20" t="inlineStr">
        <x:is>
          <x:t xml:space="preserve">COA_Master</x:t>
        </x:is>
      </x:c>
      <x:c r="B41" s="20" t="inlineStr">
        <x:is>
          <x:t xml:space="preserve">Is_Sub_Ledger</x:t>
        </x:is>
      </x:c>
      <x:c r="C41" s="21" t="inlineStr">
        <x:is>
          <x:t xml:space="preserve">Dropdown:YesNo</x:t>
        </x:is>
      </x:c>
      <x:c r="D41" s="21" t="inlineStr">
        <x:is>
          <x:t xml:space="preserve">Yes</x:t>
        </x:is>
      </x:c>
      <x:c r="E41" s="20" t="inlineStr">
        <x:is>
          <x:t xml:space="preserve">Has sub-ledger</x:t>
        </x:is>
      </x:c>
      <x:c r="F41" s="20" t="inlineStr">
        <x:is>
          <x:t xml:space="preserve">No</x:t>
        </x:is>
      </x:c>
      <x:c r="G41" s="21" t="inlineStr">
        <x:is>
          <x:t xml:space="preserve">COA_MASTER</x:t>
        </x:is>
      </x:c>
    </x:row>
    <x:row r="42">
      <x:c r="A42" s="20" t="inlineStr">
        <x:is>
          <x:t xml:space="preserve">COA_Master</x:t>
        </x:is>
      </x:c>
      <x:c r="B42" s="20" t="inlineStr">
        <x:is>
          <x:t xml:space="preserve">Opening_Balance</x:t>
        </x:is>
      </x:c>
      <x:c r="C42" s="21" t="inlineStr">
        <x:is>
          <x:t xml:space="preserve">Number</x:t>
        </x:is>
      </x:c>
      <x:c r="D42" s="21" t="inlineStr">
        <x:is>
          <x:t xml:space="preserve">Yes</x:t>
        </x:is>
      </x:c>
      <x:c r="E42" s="20" t="inlineStr">
        <x:is>
          <x:t xml:space="preserve">Opening balance in natural sign</x:t>
        </x:is>
      </x:c>
      <x:c r="F42" s="20" t="inlineStr">
        <x:is>
          <x:t xml:space="preserve">0</x:t>
        </x:is>
      </x:c>
      <x:c r="G42" s="21" t="inlineStr">
        <x:is>
          <x:t xml:space="preserve">COA_MASTER</x:t>
        </x:is>
      </x:c>
    </x:row>
    <x:row r="43">
      <x:c r="A43" s="20" t="inlineStr">
        <x:is>
          <x:t xml:space="preserve">COA_Master</x:t>
        </x:is>
      </x:c>
      <x:c r="B43" s="20" t="inlineStr">
        <x:is>
          <x:t xml:space="preserve">Debit_Total</x:t>
        </x:is>
      </x:c>
      <x:c r="C43" s="21" t="inlineStr">
        <x:is>
          <x:t xml:space="preserve">Formula</x:t>
        </x:is>
      </x:c>
      <x:c r="D43" s="21" t="inlineStr">
        <x:is>
          <x:t xml:space="preserve">Yes</x:t>
        </x:is>
      </x:c>
      <x:c r="E43" s="20" t="inlineStr">
        <x:is>
          <x:t xml:space="preserve">Sum of journal debits</x:t>
        </x:is>
      </x:c>
      <x:c r="F43" s="20" t="inlineStr">
        <x:is>
          <x:t xml:space="preserve"/>
        </x:is>
      </x:c>
      <x:c r="G43" s="21" t="inlineStr">
        <x:is>
          <x:t xml:space="preserve">COA_MASTER</x:t>
        </x:is>
      </x:c>
    </x:row>
    <x:row r="44">
      <x:c r="A44" s="20" t="inlineStr">
        <x:is>
          <x:t xml:space="preserve">COA_Master</x:t>
        </x:is>
      </x:c>
      <x:c r="B44" s="20" t="inlineStr">
        <x:is>
          <x:t xml:space="preserve">Credit_Total</x:t>
        </x:is>
      </x:c>
      <x:c r="C44" s="21" t="inlineStr">
        <x:is>
          <x:t xml:space="preserve">Formula</x:t>
        </x:is>
      </x:c>
      <x:c r="D44" s="21" t="inlineStr">
        <x:is>
          <x:t xml:space="preserve">Yes</x:t>
        </x:is>
      </x:c>
      <x:c r="E44" s="20" t="inlineStr">
        <x:is>
          <x:t xml:space="preserve">Sum of journal credits</x:t>
        </x:is>
      </x:c>
      <x:c r="F44" s="20" t="inlineStr">
        <x:is>
          <x:t xml:space="preserve"/>
        </x:is>
      </x:c>
      <x:c r="G44" s="21" t="inlineStr">
        <x:is>
          <x:t xml:space="preserve">COA_MASTER</x:t>
        </x:is>
      </x:c>
    </x:row>
    <x:row r="45">
      <x:c r="A45" s="20" t="inlineStr">
        <x:is>
          <x:t xml:space="preserve">COA_Master</x:t>
        </x:is>
      </x:c>
      <x:c r="B45" s="20" t="inlineStr">
        <x:is>
          <x:t xml:space="preserve">Closing_Balance</x:t>
        </x:is>
      </x:c>
      <x:c r="C45" s="21" t="inlineStr">
        <x:is>
          <x:t xml:space="preserve">Formula</x:t>
        </x:is>
      </x:c>
      <x:c r="D45" s="21" t="inlineStr">
        <x:is>
          <x:t xml:space="preserve">Yes</x:t>
        </x:is>
      </x:c>
      <x:c r="E45" s="20" t="inlineStr">
        <x:is>
          <x:t xml:space="preserve">Closing balance in natural sign</x:t>
        </x:is>
      </x:c>
      <x:c r="F45" s="20" t="inlineStr">
        <x:is>
          <x:t xml:space="preserve"/>
        </x:is>
      </x:c>
      <x:c r="G45" s="21" t="inlineStr">
        <x:is>
          <x:t xml:space="preserve">COA_MASTER</x:t>
        </x:is>
      </x:c>
    </x:row>
    <x:row r="46">
      <x:c r="A46" s="20" t="inlineStr">
        <x:is>
          <x:t xml:space="preserve">COA_Master</x:t>
        </x:is>
      </x:c>
      <x:c r="B46" s="20" t="inlineStr">
        <x:is>
          <x:t xml:space="preserve">Prior_Year_Balance</x:t>
        </x:is>
      </x:c>
      <x:c r="C46" s="21" t="inlineStr">
        <x:is>
          <x:t xml:space="preserve">Number</x:t>
        </x:is>
      </x:c>
      <x:c r="D46" s="21" t="inlineStr">
        <x:is>
          <x:t xml:space="preserve">No</x:t>
        </x:is>
      </x:c>
      <x:c r="E46" s="20" t="inlineStr">
        <x:is>
          <x:t xml:space="preserve">Comparative prior year</x:t>
        </x:is>
      </x:c>
      <x:c r="F46" s="20" t="inlineStr">
        <x:is>
          <x:t xml:space="preserve">0</x:t>
        </x:is>
      </x:c>
      <x:c r="G46" s="21" t="inlineStr">
        <x:is>
          <x:t xml:space="preserve">COA_MASTER</x:t>
        </x:is>
      </x:c>
    </x:row>
    <x:row r="47">
      <x:c r="A47" s="20" t="inlineStr">
        <x:is>
          <x:t xml:space="preserve">COA_Master</x:t>
        </x:is>
      </x:c>
      <x:c r="B47" s="20" t="inlineStr">
        <x:is>
          <x:t xml:space="preserve">Variance</x:t>
        </x:is>
      </x:c>
      <x:c r="C47" s="21" t="inlineStr">
        <x:is>
          <x:t xml:space="preserve">Formula</x:t>
        </x:is>
      </x:c>
      <x:c r="D47" s="21" t="inlineStr">
        <x:is>
          <x:t xml:space="preserve">Yes</x:t>
        </x:is>
      </x:c>
      <x:c r="E47" s="20" t="inlineStr">
        <x:is>
          <x:t xml:space="preserve">Closing less prior</x:t>
        </x:is>
      </x:c>
      <x:c r="F47" s="20" t="inlineStr">
        <x:is>
          <x:t xml:space="preserve"/>
        </x:is>
      </x:c>
      <x:c r="G47" s="21" t="inlineStr">
        <x:is>
          <x:t xml:space="preserve">COA_MASTER</x:t>
        </x:is>
      </x:c>
    </x:row>
    <x:row r="48">
      <x:c r="A48" s="20" t="inlineStr">
        <x:is>
          <x:t xml:space="preserve">COA_Master</x:t>
        </x:is>
      </x:c>
      <x:c r="B48" s="20" t="inlineStr">
        <x:is>
          <x:t xml:space="preserve">Materiality_Tag</x:t>
        </x:is>
      </x:c>
      <x:c r="C48" s="21" t="inlineStr">
        <x:is>
          <x:t xml:space="preserve">Dropdown:Materiality_Tag</x:t>
        </x:is>
      </x:c>
      <x:c r="D48" s="21" t="inlineStr">
        <x:is>
          <x:t xml:space="preserve">Yes</x:t>
        </x:is>
      </x:c>
      <x:c r="E48" s="20" t="inlineStr">
        <x:is>
          <x:t xml:space="preserve">Risk / sampling weight</x:t>
        </x:is>
      </x:c>
      <x:c r="F48" s="20" t="inlineStr">
        <x:is>
          <x:t xml:space="preserve">Low</x:t>
        </x:is>
      </x:c>
      <x:c r="G48" s="21" t="inlineStr">
        <x:is>
          <x:t xml:space="preserve">COA_MASTER</x:t>
        </x:is>
      </x:c>
    </x:row>
    <x:row r="49">
      <x:c r="A49" s="20" t="inlineStr">
        <x:is>
          <x:t xml:space="preserve">COA_Master</x:t>
        </x:is>
      </x:c>
      <x:c r="B49" s="20" t="inlineStr">
        <x:is>
          <x:t xml:space="preserve">Risk_Tag</x:t>
        </x:is>
      </x:c>
      <x:c r="C49" s="21" t="inlineStr">
        <x:is>
          <x:t xml:space="preserve">Dropdown:Risk_Level</x:t>
        </x:is>
      </x:c>
      <x:c r="D49" s="21" t="inlineStr">
        <x:is>
          <x:t xml:space="preserve">Yes</x:t>
        </x:is>
      </x:c>
      <x:c r="E49" s="20" t="inlineStr">
        <x:is>
          <x:t xml:space="preserve">RMM / account risk</x:t>
        </x:is>
      </x:c>
      <x:c r="F49" s="20" t="inlineStr">
        <x:is>
          <x:t xml:space="preserve">Low</x:t>
        </x:is>
      </x:c>
      <x:c r="G49" s="21" t="inlineStr">
        <x:is>
          <x:t xml:space="preserve">COA_MASTER</x:t>
        </x:is>
      </x:c>
    </x:row>
    <x:row r="50">
      <x:c r="A50" s="20" t="inlineStr">
        <x:is>
          <x:t xml:space="preserve">COA_Master</x:t>
        </x:is>
      </x:c>
      <x:c r="B50" s="20" t="inlineStr">
        <x:is>
          <x:t xml:space="preserve">Assertion_Tag</x:t>
        </x:is>
      </x:c>
      <x:c r="C50" s="21" t="inlineStr">
        <x:is>
          <x:t xml:space="preserve">Text</x:t>
        </x:is>
      </x:c>
      <x:c r="D50" s="21" t="inlineStr">
        <x:is>
          <x:t xml:space="preserve">Yes</x:t>
        </x:is>
      </x:c>
      <x:c r="E50" s="20" t="inlineStr">
        <x:is>
          <x:t xml:space="preserve">Applicable assertions</x:t>
        </x:is>
      </x:c>
      <x:c r="F50" s="20" t="inlineStr">
        <x:is>
          <x:t xml:space="preserve">Existence,Valuation,Rights &amp; Obligations</x:t>
        </x:is>
      </x:c>
      <x:c r="G50" s="21" t="inlineStr">
        <x:is>
          <x:t xml:space="preserve">COA_MASTER</x:t>
        </x:is>
      </x:c>
    </x:row>
    <x:row r="51">
      <x:c r="A51" s="20" t="inlineStr">
        <x:is>
          <x:t xml:space="preserve">COA_Master</x:t>
        </x:is>
      </x:c>
      <x:c r="B51" s="20" t="inlineStr">
        <x:is>
          <x:t xml:space="preserve">Related_Party_Flag</x:t>
        </x:is>
      </x:c>
      <x:c r="C51" s="21" t="inlineStr">
        <x:is>
          <x:t xml:space="preserve">Dropdown:YesNo</x:t>
        </x:is>
      </x:c>
      <x:c r="D51" s="21" t="inlineStr">
        <x:is>
          <x:t xml:space="preserve">Yes</x:t>
        </x:is>
      </x:c>
      <x:c r="E51" s="20" t="inlineStr">
        <x:is>
          <x:t xml:space="preserve">Related party indicator</x:t>
        </x:is>
      </x:c>
      <x:c r="F51" s="20" t="inlineStr">
        <x:is>
          <x:t xml:space="preserve">No</x:t>
        </x:is>
      </x:c>
      <x:c r="G51" s="21" t="inlineStr">
        <x:is>
          <x:t xml:space="preserve">COA_MASTER</x:t>
        </x:is>
      </x:c>
    </x:row>
    <x:row r="52">
      <x:c r="A52" s="20" t="inlineStr">
        <x:is>
          <x:t xml:space="preserve">COA_Master</x:t>
        </x:is>
      </x:c>
      <x:c r="B52" s="20" t="inlineStr">
        <x:is>
          <x:t xml:space="preserve">Cash_Flow_Tag</x:t>
        </x:is>
      </x:c>
      <x:c r="C52" s="21" t="inlineStr">
        <x:is>
          <x:t xml:space="preserve">Dropdown:Cash_Flow_Tag</x:t>
        </x:is>
      </x:c>
      <x:c r="D52" s="21" t="inlineStr">
        <x:is>
          <x:t xml:space="preserve">Yes</x:t>
        </x:is>
      </x:c>
      <x:c r="E52" s="20" t="inlineStr">
        <x:is>
          <x:t xml:space="preserve">Cash flow classification</x:t>
        </x:is>
      </x:c>
      <x:c r="F52" s="20" t="inlineStr">
        <x:is>
          <x:t xml:space="preserve">Investing</x:t>
        </x:is>
      </x:c>
      <x:c r="G52" s="21" t="inlineStr">
        <x:is>
          <x:t xml:space="preserve">COA_MASTER</x:t>
        </x:is>
      </x:c>
    </x:row>
    <x:row r="53">
      <x:c r="A53" s="20" t="inlineStr">
        <x:is>
          <x:t xml:space="preserve">COA_Master</x:t>
        </x:is>
      </x:c>
      <x:c r="B53" s="20" t="inlineStr">
        <x:is>
          <x:t xml:space="preserve">Mapping_GL_Code</x:t>
        </x:is>
      </x:c>
      <x:c r="C53" s="21" t="inlineStr">
        <x:is>
          <x:t xml:space="preserve">Text</x:t>
        </x:is>
      </x:c>
      <x:c r="D53" s="21" t="inlineStr">
        <x:is>
          <x:t xml:space="preserve">Yes</x:t>
        </x:is>
      </x:c>
      <x:c r="E53" s="20" t="inlineStr">
        <x:is>
          <x:t xml:space="preserve">Target GL code</x:t>
        </x:is>
      </x:c>
      <x:c r="F53" s="20" t="inlineStr">
        <x:is>
          <x:t xml:space="preserve">GL-110101</x:t>
        </x:is>
      </x:c>
      <x:c r="G53" s="21" t="inlineStr">
        <x:is>
          <x:t xml:space="preserve">COA_MASTER</x:t>
        </x:is>
      </x:c>
    </x:row>
    <x:row r="54">
      <x:c r="A54" s="20" t="inlineStr">
        <x:is>
          <x:t xml:space="preserve">COA_Master</x:t>
        </x:is>
      </x:c>
      <x:c r="B54" s="20" t="inlineStr">
        <x:is>
          <x:t xml:space="preserve">Mapping_FS_Line</x:t>
        </x:is>
      </x:c>
      <x:c r="C54" s="21" t="inlineStr">
        <x:is>
          <x:t xml:space="preserve">Text</x:t>
        </x:is>
      </x:c>
      <x:c r="D54" s="21" t="inlineStr">
        <x:is>
          <x:t xml:space="preserve">Yes</x:t>
        </x:is>
      </x:c>
      <x:c r="E54" s="20" t="inlineStr">
        <x:is>
          <x:t xml:space="preserve">Mapped FS line item</x:t>
        </x:is>
      </x:c>
      <x:c r="F54" s="20" t="inlineStr">
        <x:is>
          <x:t xml:space="preserve">Land</x:t>
        </x:is>
      </x:c>
      <x:c r="G54" s="21" t="inlineStr">
        <x:is>
          <x:t xml:space="preserve">COA_MASTER</x:t>
        </x:is>
      </x:c>
    </x:row>
    <x:row r="55">
      <x:c r="A55" s="20" t="inlineStr">
        <x:is>
          <x:t xml:space="preserve">COA_Master</x:t>
        </x:is>
      </x:c>
      <x:c r="B55" s="20" t="inlineStr">
        <x:is>
          <x:t xml:space="preserve">Working_Paper_Code</x:t>
        </x:is>
      </x:c>
      <x:c r="C55" s="21" t="inlineStr">
        <x:is>
          <x:t xml:space="preserve">Text</x:t>
        </x:is>
      </x:c>
      <x:c r="D55" s="21" t="inlineStr">
        <x:is>
          <x:t xml:space="preserve">Yes</x:t>
        </x:is>
      </x:c>
      <x:c r="E55" s="20" t="inlineStr">
        <x:is>
          <x:t xml:space="preserve">Triggered workpaper codes</x:t>
        </x:is>
      </x:c>
      <x:c r="F55" s="20" t="inlineStr">
        <x:is>
          <x:t xml:space="preserve">FA-01</x:t>
        </x:is>
      </x:c>
      <x:c r="G55" s="21" t="inlineStr">
        <x:is>
          <x:t xml:space="preserve">COA_MASTER</x:t>
        </x:is>
      </x:c>
    </x:row>
    <x:row r="56">
      <x:c r="A56" s="20" t="inlineStr">
        <x:is>
          <x:t xml:space="preserve">COA_Master</x:t>
        </x:is>
      </x:c>
      <x:c r="B56" s="20" t="inlineStr">
        <x:is>
          <x:t xml:space="preserve">Reconciliation_Flag</x:t>
        </x:is>
      </x:c>
      <x:c r="C56" s="21" t="inlineStr">
        <x:is>
          <x:t xml:space="preserve">Dropdown:YesNo</x:t>
        </x:is>
      </x:c>
      <x:c r="D56" s="21" t="inlineStr">
        <x:is>
          <x:t xml:space="preserve">Yes</x:t>
        </x:is>
      </x:c>
      <x:c r="E56" s="20" t="inlineStr">
        <x:is>
          <x:t xml:space="preserve">Reconciled status</x:t>
        </x:is>
      </x:c>
      <x:c r="F56" s="20" t="inlineStr">
        <x:is>
          <x:t xml:space="preserve">Yes</x:t>
        </x:is>
      </x:c>
      <x:c r="G56" s="21" t="inlineStr">
        <x:is>
          <x:t xml:space="preserve">COA_MASTER</x:t>
        </x:is>
      </x:c>
    </x:row>
    <x:row r="57">
      <x:c r="A57" s="20" t="inlineStr">
        <x:is>
          <x:t xml:space="preserve">COA_Master</x:t>
        </x:is>
      </x:c>
      <x:c r="B57" s="20" t="inlineStr">
        <x:is>
          <x:t xml:space="preserve">Data_Source</x:t>
        </x:is>
      </x:c>
      <x:c r="C57" s="21" t="inlineStr">
        <x:is>
          <x:t xml:space="preserve">Dropdown:Data_Source</x:t>
        </x:is>
      </x:c>
      <x:c r="D57" s="21" t="inlineStr">
        <x:is>
          <x:t xml:space="preserve">Yes</x:t>
        </x:is>
      </x:c>
      <x:c r="E57" s="20" t="inlineStr">
        <x:is>
          <x:t xml:space="preserve">Source of record</x:t>
        </x:is>
      </x:c>
      <x:c r="F57" s="20" t="inlineStr">
        <x:is>
          <x:t xml:space="preserve">Imported</x:t>
        </x:is>
      </x:c>
      <x:c r="G57" s="21" t="inlineStr">
        <x:is>
          <x:t xml:space="preserve">COA_MASTER</x:t>
        </x:is>
      </x:c>
    </x:row>
    <x:row r="58">
      <x:c r="A58" s="20" t="inlineStr">
        <x:is>
          <x:t xml:space="preserve">COA_Master</x:t>
        </x:is>
      </x:c>
      <x:c r="B58" s="20" t="inlineStr">
        <x:is>
          <x:t xml:space="preserve">Confidence_Score</x:t>
        </x:is>
      </x:c>
      <x:c r="C58" s="21" t="inlineStr">
        <x:is>
          <x:t xml:space="preserve">Number</x:t>
        </x:is>
      </x:c>
      <x:c r="D58" s="21" t="inlineStr">
        <x:is>
          <x:t xml:space="preserve">Yes</x:t>
        </x:is>
      </x:c>
      <x:c r="E58" s="20" t="inlineStr">
        <x:is>
          <x:t xml:space="preserve">AI / mapping confidence %</x:t>
        </x:is>
      </x:c>
      <x:c r="F58" s="20" t="inlineStr">
        <x:is>
          <x:t xml:space="preserve">100</x:t>
        </x:is>
      </x:c>
      <x:c r="G58" s="21" t="inlineStr">
        <x:is>
          <x:t xml:space="preserve">COA_MASTER</x:t>
        </x:is>
      </x:c>
    </x:row>
    <x:row r="59">
      <x:c r="A59" s="20" t="inlineStr">
        <x:is>
          <x:t xml:space="preserve">COA_Master</x:t>
        </x:is>
      </x:c>
      <x:c r="B59" s="20" t="inlineStr">
        <x:is>
          <x:t xml:space="preserve">Exception_Flag</x:t>
        </x:is>
      </x:c>
      <x:c r="C59" s="21" t="inlineStr">
        <x:is>
          <x:t xml:space="preserve">Dropdown:YesNo</x:t>
        </x:is>
      </x:c>
      <x:c r="D59" s="21" t="inlineStr">
        <x:is>
          <x:t xml:space="preserve">Yes</x:t>
        </x:is>
      </x:c>
      <x:c r="E59" s="20" t="inlineStr">
        <x:is>
          <x:t xml:space="preserve">Exception present</x:t>
        </x:is>
      </x:c>
      <x:c r="F59" s="20" t="inlineStr">
        <x:is>
          <x:t xml:space="preserve">No</x:t>
        </x:is>
      </x:c>
      <x:c r="G59" s="21" t="inlineStr">
        <x:is>
          <x:t xml:space="preserve">COA_MASTER</x:t>
        </x:is>
      </x:c>
    </x:row>
    <x:row r="60">
      <x:c r="A60" s="20" t="inlineStr">
        <x:is>
          <x:t xml:space="preserve">COA_Master</x:t>
        </x:is>
      </x:c>
      <x:c r="B60" s="20" t="inlineStr">
        <x:is>
          <x:t xml:space="preserve">Notes</x:t>
        </x:is>
      </x:c>
      <x:c r="C60" s="21" t="inlineStr">
        <x:is>
          <x:t xml:space="preserve">Text</x:t>
        </x:is>
      </x:c>
      <x:c r="D60" s="21" t="inlineStr">
        <x:is>
          <x:t xml:space="preserve">No</x:t>
        </x:is>
      </x:c>
      <x:c r="E60" s="20" t="inlineStr">
        <x:is>
          <x:t xml:space="preserve">Reviewer note</x:t>
        </x:is>
      </x:c>
      <x:c r="F60" s="20" t="inlineStr">
        <x:is>
          <x:t xml:space="preserve"/>
        </x:is>
      </x:c>
      <x:c r="G60" s="21" t="inlineStr">
        <x:is>
          <x:t xml:space="preserve">COA_MASTER</x:t>
        </x:is>
      </x:c>
    </x:row>
    <x:row r="61">
      <x:c r="A61" s="20" t="inlineStr">
        <x:is>
          <x:t xml:space="preserve">COA_Master</x:t>
        </x:is>
      </x:c>
      <x:c r="B61" s="20" t="inlineStr">
        <x:is>
          <x:t xml:space="preserve">Prepared_By</x:t>
        </x:is>
      </x:c>
      <x:c r="C61" s="21" t="inlineStr">
        <x:is>
          <x:t xml:space="preserve">Text</x:t>
        </x:is>
      </x:c>
      <x:c r="D61" s="21" t="inlineStr">
        <x:is>
          <x:t xml:space="preserve">Yes</x:t>
        </x:is>
      </x:c>
      <x:c r="E61" s="20" t="inlineStr">
        <x:is>
          <x:t xml:space="preserve">Preparer</x:t>
        </x:is>
      </x:c>
      <x:c r="F61" s="20" t="inlineStr">
        <x:is>
          <x:t xml:space="preserve">Associate 1</x:t>
        </x:is>
      </x:c>
      <x:c r="G61" s="21" t="inlineStr">
        <x:is>
          <x:t xml:space="preserve">COA_MASTER</x:t>
        </x:is>
      </x:c>
    </x:row>
    <x:row r="62">
      <x:c r="A62" s="20" t="inlineStr">
        <x:is>
          <x:t xml:space="preserve">COA_Master</x:t>
        </x:is>
      </x:c>
      <x:c r="B62" s="20" t="inlineStr">
        <x:is>
          <x:t xml:space="preserve">Reviewed_By</x:t>
        </x:is>
      </x:c>
      <x:c r="C62" s="21" t="inlineStr">
        <x:is>
          <x:t xml:space="preserve">Text</x:t>
        </x:is>
      </x:c>
      <x:c r="D62" s="21" t="inlineStr">
        <x:is>
          <x:t xml:space="preserve">No</x:t>
        </x:is>
      </x:c>
      <x:c r="E62" s="20" t="inlineStr">
        <x:is>
          <x:t xml:space="preserve">Reviewer</x:t>
        </x:is>
      </x:c>
      <x:c r="F62" s="20" t="inlineStr">
        <x:is>
          <x:t xml:space="preserve">Manager 1</x:t>
        </x:is>
      </x:c>
      <x:c r="G62" s="21" t="inlineStr">
        <x:is>
          <x:t xml:space="preserve">COA_MASTER</x:t>
        </x:is>
      </x:c>
    </x:row>
    <x:row r="63">
      <x:c r="A63" s="20" t="inlineStr">
        <x:is>
          <x:t xml:space="preserve">COA_Master</x:t>
        </x:is>
      </x:c>
      <x:c r="B63" s="20" t="inlineStr">
        <x:is>
          <x:t xml:space="preserve">Approved_By</x:t>
        </x:is>
      </x:c>
      <x:c r="C63" s="21" t="inlineStr">
        <x:is>
          <x:t xml:space="preserve">Text</x:t>
        </x:is>
      </x:c>
      <x:c r="D63" s="21" t="inlineStr">
        <x:is>
          <x:t xml:space="preserve">No</x:t>
        </x:is>
      </x:c>
      <x:c r="E63" s="20" t="inlineStr">
        <x:is>
          <x:t xml:space="preserve">Approver</x:t>
        </x:is>
      </x:c>
      <x:c r="F63" s="20" t="inlineStr">
        <x:is>
          <x:t xml:space="preserve">Partner 1</x:t>
        </x:is>
      </x:c>
      <x:c r="G63" s="21" t="inlineStr">
        <x:is>
          <x:t xml:space="preserve">COA_MASTER</x:t>
        </x:is>
      </x:c>
    </x:row>
    <x:row r="64">
      <x:c r="A64" s="20" t="inlineStr">
        <x:is>
          <x:t xml:space="preserve">COA_Master</x:t>
        </x:is>
      </x:c>
      <x:c r="B64" s="20" t="inlineStr">
        <x:is>
          <x:t xml:space="preserve">Timestamp</x:t>
        </x:is>
      </x:c>
      <x:c r="C64" s="21" t="inlineStr">
        <x:is>
          <x:t xml:space="preserve">DateTime</x:t>
        </x:is>
      </x:c>
      <x:c r="D64" s="21" t="inlineStr">
        <x:is>
          <x:t xml:space="preserve">Yes</x:t>
        </x:is>
      </x:c>
      <x:c r="E64" s="20" t="inlineStr">
        <x:is>
          <x:t xml:space="preserve">Audit trail timestamp</x:t>
        </x:is>
      </x:c>
      <x:c r="F64" s="20" t="inlineStr">
        <x:is>
          <x:t xml:space="preserve">2026-04-04 09:00:00</x:t>
        </x:is>
      </x:c>
      <x:c r="G64" s="21" t="inlineStr">
        <x:is>
          <x:t xml:space="preserve">COA_MASTER</x:t>
        </x:is>
      </x:c>
    </x:row>
    <x:row r="65">
      <x:c r="A65" s="20" t="inlineStr">
        <x:is>
          <x:t xml:space="preserve">FS_Extraction_Staging</x:t>
        </x:is>
      </x:c>
      <x:c r="B65" s="20" t="inlineStr">
        <x:is>
          <x:t xml:space="preserve">Extraction_ID</x:t>
        </x:is>
      </x:c>
      <x:c r="C65" s="21" t="inlineStr">
        <x:is>
          <x:t xml:space="preserve">Text</x:t>
        </x:is>
      </x:c>
      <x:c r="D65" s="21" t="inlineStr">
        <x:is>
          <x:t xml:space="preserve">Yes</x:t>
        </x:is>
      </x:c>
      <x:c r="E65" s="20" t="inlineStr">
        <x:is>
          <x:t xml:space="preserve">Unique extraction row id</x:t>
        </x:is>
      </x:c>
      <x:c r="F65" s="20" t="inlineStr">
        <x:is>
          <x:t xml:space="preserve">EXT-001</x:t>
        </x:is>
      </x:c>
      <x:c r="G65" s="21" t="inlineStr">
        <x:is>
          <x:t xml:space="preserve">FS_EXTRACTION_STAGING</x:t>
        </x:is>
      </x:c>
    </x:row>
    <x:row r="66">
      <x:c r="A66" s="20" t="inlineStr">
        <x:is>
          <x:t xml:space="preserve">FS_Extraction_Staging</x:t>
        </x:is>
      </x:c>
      <x:c r="B66" s="20" t="inlineStr">
        <x:is>
          <x:t xml:space="preserve">Engagement_ID</x:t>
        </x:is>
      </x:c>
      <x:c r="C66" s="21" t="inlineStr">
        <x:is>
          <x:t xml:space="preserve">Text</x:t>
        </x:is>
      </x:c>
      <x:c r="D66" s="21" t="inlineStr">
        <x:is>
          <x:t xml:space="preserve">Yes</x:t>
        </x:is>
      </x:c>
      <x:c r="E66" s="20" t="inlineStr">
        <x:is>
          <x:t xml:space="preserve">Engagement reference</x:t>
        </x:is>
      </x:c>
      <x:c r="F66" s="20" t="inlineStr">
        <x:is>
          <x:t xml:space="preserve">ENG-001</x:t>
        </x:is>
      </x:c>
      <x:c r="G66" s="21" t="inlineStr">
        <x:is>
          <x:t xml:space="preserve">FS_EXTRACTION_STAGING</x:t>
        </x:is>
      </x:c>
    </x:row>
    <x:row r="67">
      <x:c r="A67" s="20" t="inlineStr">
        <x:is>
          <x:t xml:space="preserve">FS_Extraction_Staging</x:t>
        </x:is>
      </x:c>
      <x:c r="B67" s="20" t="inlineStr">
        <x:is>
          <x:t xml:space="preserve">Source_File_Name</x:t>
        </x:is>
      </x:c>
      <x:c r="C67" s="21" t="inlineStr">
        <x:is>
          <x:t xml:space="preserve">Text</x:t>
        </x:is>
      </x:c>
      <x:c r="D67" s="21" t="inlineStr">
        <x:is>
          <x:t xml:space="preserve">Yes</x:t>
        </x:is>
      </x:c>
      <x:c r="E67" s="20" t="inlineStr">
        <x:is>
          <x:t xml:space="preserve">Uploaded statement / return</x:t>
        </x:is>
      </x:c>
      <x:c r="F67" s="20" t="inlineStr">
        <x:is>
          <x:t xml:space="preserve">ABC_FS_2025.pdf</x:t>
        </x:is>
      </x:c>
      <x:c r="G67" s="21" t="inlineStr">
        <x:is>
          <x:t xml:space="preserve">FS_EXTRACTION_STAGING</x:t>
        </x:is>
      </x:c>
    </x:row>
    <x:row r="68">
      <x:c r="A68" s="20" t="inlineStr">
        <x:is>
          <x:t xml:space="preserve">FS_Extraction_Staging</x:t>
        </x:is>
      </x:c>
      <x:c r="B68" s="20" t="inlineStr">
        <x:is>
          <x:t xml:space="preserve">Source_File_Type</x:t>
        </x:is>
      </x:c>
      <x:c r="C68" s="21" t="inlineStr">
        <x:is>
          <x:t xml:space="preserve">Text</x:t>
        </x:is>
      </x:c>
      <x:c r="D68" s="21" t="inlineStr">
        <x:is>
          <x:t xml:space="preserve">Yes</x:t>
        </x:is>
      </x:c>
      <x:c r="E68" s="20" t="inlineStr">
        <x:is>
          <x:t xml:space="preserve">PDF / XLSX / CSV / image</x:t>
        </x:is>
      </x:c>
      <x:c r="F68" s="20" t="inlineStr">
        <x:is>
          <x:t xml:space="preserve">PDF</x:t>
        </x:is>
      </x:c>
      <x:c r="G68" s="21" t="inlineStr">
        <x:is>
          <x:t xml:space="preserve">FS_EXTRACTION_STAGING</x:t>
        </x:is>
      </x:c>
    </x:row>
    <x:row r="69">
      <x:c r="A69" s="20" t="inlineStr">
        <x:is>
          <x:t xml:space="preserve">FS_Extraction_Staging</x:t>
        </x:is>
      </x:c>
      <x:c r="B69" s="20" t="inlineStr">
        <x:is>
          <x:t xml:space="preserve">Page_No</x:t>
        </x:is>
      </x:c>
      <x:c r="C69" s="21" t="inlineStr">
        <x:is>
          <x:t xml:space="preserve">Number</x:t>
        </x:is>
      </x:c>
      <x:c r="D69" s="21" t="inlineStr">
        <x:is>
          <x:t xml:space="preserve">No</x:t>
        </x:is>
      </x:c>
      <x:c r="E69" s="20" t="inlineStr">
        <x:is>
          <x:t xml:space="preserve">Page number</x:t>
        </x:is>
      </x:c>
      <x:c r="F69" s="20" t="inlineStr">
        <x:is>
          <x:t xml:space="preserve">3</x:t>
        </x:is>
      </x:c>
      <x:c r="G69" s="21" t="inlineStr">
        <x:is>
          <x:t xml:space="preserve">FS_EXTRACTION_STAGING</x:t>
        </x:is>
      </x:c>
    </x:row>
    <x:row r="70">
      <x:c r="A70" s="20" t="inlineStr">
        <x:is>
          <x:t xml:space="preserve">FS_Extraction_Staging</x:t>
        </x:is>
      </x:c>
      <x:c r="B70" s="20" t="inlineStr">
        <x:is>
          <x:t xml:space="preserve">Statement_Type</x:t>
        </x:is>
      </x:c>
      <x:c r="C70" s="21" t="inlineStr">
        <x:is>
          <x:t xml:space="preserve">Dropdown:Statement_Type</x:t>
        </x:is>
      </x:c>
      <x:c r="D70" s="21" t="inlineStr">
        <x:is>
          <x:t xml:space="preserve">Yes</x:t>
        </x:is>
      </x:c>
      <x:c r="E70" s="20" t="inlineStr">
        <x:is>
          <x:t xml:space="preserve">Source statement</x:t>
        </x:is>
      </x:c>
      <x:c r="F70" s="20" t="inlineStr">
        <x:is>
          <x:t xml:space="preserve">Statement of Financial Position</x:t>
        </x:is>
      </x:c>
      <x:c r="G70" s="21" t="inlineStr">
        <x:is>
          <x:t xml:space="preserve">FS_EXTRACTION_STAGING</x:t>
        </x:is>
      </x:c>
    </x:row>
    <x:row r="71">
      <x:c r="A71" s="20" t="inlineStr">
        <x:is>
          <x:t xml:space="preserve">FS_Extraction_Staging</x:t>
        </x:is>
      </x:c>
      <x:c r="B71" s="20" t="inlineStr">
        <x:is>
          <x:t xml:space="preserve">Section_Name</x:t>
        </x:is>
      </x:c>
      <x:c r="C71" s="21" t="inlineStr">
        <x:is>
          <x:t xml:space="preserve">Text</x:t>
        </x:is>
      </x:c>
      <x:c r="D71" s="21" t="inlineStr">
        <x:is>
          <x:t xml:space="preserve">No</x:t>
        </x:is>
      </x:c>
      <x:c r="E71" s="20" t="inlineStr">
        <x:is>
          <x:t xml:space="preserve">Section / note heading</x:t>
        </x:is>
      </x:c>
      <x:c r="F71" s="20" t="inlineStr">
        <x:is>
          <x:t xml:space="preserve">Current Assets</x:t>
        </x:is>
      </x:c>
      <x:c r="G71" s="21" t="inlineStr">
        <x:is>
          <x:t xml:space="preserve">FS_EXTRACTION_STAGING</x:t>
        </x:is>
      </x:c>
    </x:row>
    <x:row r="72">
      <x:c r="A72" s="20" t="inlineStr">
        <x:is>
          <x:t xml:space="preserve">FS_Extraction_Staging</x:t>
        </x:is>
      </x:c>
      <x:c r="B72" s="20" t="inlineStr">
        <x:is>
          <x:t xml:space="preserve">Line_Item_Text</x:t>
        </x:is>
      </x:c>
      <x:c r="C72" s="21" t="inlineStr">
        <x:is>
          <x:t xml:space="preserve">Text</x:t>
        </x:is>
      </x:c>
      <x:c r="D72" s="21" t="inlineStr">
        <x:is>
          <x:t xml:space="preserve">Yes</x:t>
        </x:is>
      </x:c>
      <x:c r="E72" s="20" t="inlineStr">
        <x:is>
          <x:t xml:space="preserve">Exact extracted line item</x:t>
        </x:is>
      </x:c>
      <x:c r="F72" s="20" t="inlineStr">
        <x:is>
          <x:t xml:space="preserve">Trade Receivables</x:t>
        </x:is>
      </x:c>
      <x:c r="G72" s="21" t="inlineStr">
        <x:is>
          <x:t xml:space="preserve">FS_EXTRACTION_STAGING</x:t>
        </x:is>
      </x:c>
    </x:row>
    <x:row r="73">
      <x:c r="A73" s="20" t="inlineStr">
        <x:is>
          <x:t xml:space="preserve">FS_Extraction_Staging</x:t>
        </x:is>
      </x:c>
      <x:c r="B73" s="20" t="inlineStr">
        <x:is>
          <x:t xml:space="preserve">Amount_Current</x:t>
        </x:is>
      </x:c>
      <x:c r="C73" s="21" t="inlineStr">
        <x:is>
          <x:t xml:space="preserve">Number</x:t>
        </x:is>
      </x:c>
      <x:c r="D73" s="21" t="inlineStr">
        <x:is>
          <x:t xml:space="preserve">No</x:t>
        </x:is>
      </x:c>
      <x:c r="E73" s="20" t="inlineStr">
        <x:is>
          <x:t xml:space="preserve">Current year amount</x:t>
        </x:is>
      </x:c>
      <x:c r="F73" s="20" t="inlineStr">
        <x:is>
          <x:t xml:space="preserve">1700000</x:t>
        </x:is>
      </x:c>
      <x:c r="G73" s="21" t="inlineStr">
        <x:is>
          <x:t xml:space="preserve">FS_EXTRACTION_STAGING</x:t>
        </x:is>
      </x:c>
    </x:row>
    <x:row r="74">
      <x:c r="A74" s="20" t="inlineStr">
        <x:is>
          <x:t xml:space="preserve">FS_Extraction_Staging</x:t>
        </x:is>
      </x:c>
      <x:c r="B74" s="20" t="inlineStr">
        <x:is>
          <x:t xml:space="preserve">Amount_Prior</x:t>
        </x:is>
      </x:c>
      <x:c r="C74" s="21" t="inlineStr">
        <x:is>
          <x:t xml:space="preserve">Number</x:t>
        </x:is>
      </x:c>
      <x:c r="D74" s="21" t="inlineStr">
        <x:is>
          <x:t xml:space="preserve">No</x:t>
        </x:is>
      </x:c>
      <x:c r="E74" s="20" t="inlineStr">
        <x:is>
          <x:t xml:space="preserve">Prior year amount</x:t>
        </x:is>
      </x:c>
      <x:c r="F74" s="20" t="inlineStr">
        <x:is>
          <x:t xml:space="preserve">1300000</x:t>
        </x:is>
      </x:c>
      <x:c r="G74" s="21" t="inlineStr">
        <x:is>
          <x:t xml:space="preserve">FS_EXTRACTION_STAGING</x:t>
        </x:is>
      </x:c>
    </x:row>
    <x:row r="75">
      <x:c r="A75" s="20" t="inlineStr">
        <x:is>
          <x:t xml:space="preserve">FS_Extraction_Staging</x:t>
        </x:is>
      </x:c>
      <x:c r="B75" s="20" t="inlineStr">
        <x:is>
          <x:t xml:space="preserve">Currency</x:t>
        </x:is>
      </x:c>
      <x:c r="C75" s="21" t="inlineStr">
        <x:is>
          <x:t xml:space="preserve">Text</x:t>
        </x:is>
      </x:c>
      <x:c r="D75" s="21" t="inlineStr">
        <x:is>
          <x:t xml:space="preserve">Yes</x:t>
        </x:is>
      </x:c>
      <x:c r="E75" s="20" t="inlineStr">
        <x:is>
          <x:t xml:space="preserve">Detected currency</x:t>
        </x:is>
      </x:c>
      <x:c r="F75" s="20" t="inlineStr">
        <x:is>
          <x:t xml:space="preserve">PKR</x:t>
        </x:is>
      </x:c>
      <x:c r="G75" s="21" t="inlineStr">
        <x:is>
          <x:t xml:space="preserve">FS_EXTRACTION_STAGING</x:t>
        </x:is>
      </x:c>
    </x:row>
    <x:row r="76">
      <x:c r="A76" s="20" t="inlineStr">
        <x:is>
          <x:t xml:space="preserve">FS_Extraction_Staging</x:t>
        </x:is>
      </x:c>
      <x:c r="B76" s="20" t="inlineStr">
        <x:is>
          <x:t xml:space="preserve">Sign_Convention</x:t>
        </x:is>
      </x:c>
      <x:c r="C76" s="21" t="inlineStr">
        <x:is>
          <x:t xml:space="preserve">Dropdown:Sign_Convention</x:t>
        </x:is>
      </x:c>
      <x:c r="D76" s="21" t="inlineStr">
        <x:is>
          <x:t xml:space="preserve">Yes</x:t>
        </x:is>
      </x:c>
      <x:c r="E76" s="20" t="inlineStr">
        <x:is>
          <x:t xml:space="preserve">Presentation sign convention</x:t>
        </x:is>
      </x:c>
      <x:c r="F76" s="20" t="inlineStr">
        <x:is>
          <x:t xml:space="preserve">As Presented</x:t>
        </x:is>
      </x:c>
      <x:c r="G76" s="21" t="inlineStr">
        <x:is>
          <x:t xml:space="preserve">FS_EXTRACTION_STAGING</x:t>
        </x:is>
      </x:c>
    </x:row>
    <x:row r="77">
      <x:c r="A77" s="20" t="inlineStr">
        <x:is>
          <x:t xml:space="preserve">FS_Extraction_Staging</x:t>
        </x:is>
      </x:c>
      <x:c r="B77" s="20" t="inlineStr">
        <x:is>
          <x:t xml:space="preserve">Extraction_Method</x:t>
        </x:is>
      </x:c>
      <x:c r="C77" s="21" t="inlineStr">
        <x:is>
          <x:t xml:space="preserve">Dropdown:Data_Source</x:t>
        </x:is>
      </x:c>
      <x:c r="D77" s="21" t="inlineStr">
        <x:is>
          <x:t xml:space="preserve">Yes</x:t>
        </x:is>
      </x:c>
      <x:c r="E77" s="20" t="inlineStr">
        <x:is>
          <x:t xml:space="preserve">OCR / manual / import</x:t>
        </x:is>
      </x:c>
      <x:c r="F77" s="20" t="inlineStr">
        <x:is>
          <x:t xml:space="preserve">OCR</x:t>
        </x:is>
      </x:c>
      <x:c r="G77" s="21" t="inlineStr">
        <x:is>
          <x:t xml:space="preserve">FS_EXTRACTION_STAGING</x:t>
        </x:is>
      </x:c>
    </x:row>
    <x:row r="78">
      <x:c r="A78" s="20" t="inlineStr">
        <x:is>
          <x:t xml:space="preserve">FS_Extraction_Staging</x:t>
        </x:is>
      </x:c>
      <x:c r="B78" s="20" t="inlineStr">
        <x:is>
          <x:t xml:space="preserve">Confidence_Score</x:t>
        </x:is>
      </x:c>
      <x:c r="C78" s="21" t="inlineStr">
        <x:is>
          <x:t xml:space="preserve">Number</x:t>
        </x:is>
      </x:c>
      <x:c r="D78" s="21" t="inlineStr">
        <x:is>
          <x:t xml:space="preserve">Yes</x:t>
        </x:is>
      </x:c>
      <x:c r="E78" s="20" t="inlineStr">
        <x:is>
          <x:t xml:space="preserve">Extraction confidence %</x:t>
        </x:is>
      </x:c>
      <x:c r="F78" s="20" t="inlineStr">
        <x:is>
          <x:t xml:space="preserve">96</x:t>
        </x:is>
      </x:c>
      <x:c r="G78" s="21" t="inlineStr">
        <x:is>
          <x:t xml:space="preserve">FS_EXTRACTION_STAGING</x:t>
        </x:is>
      </x:c>
    </x:row>
    <x:row r="79">
      <x:c r="A79" s="20" t="inlineStr">
        <x:is>
          <x:t xml:space="preserve">FS_Extraction_Staging</x:t>
        </x:is>
      </x:c>
      <x:c r="B79" s="20" t="inlineStr">
        <x:is>
          <x:t xml:space="preserve">Normalized_Text</x:t>
        </x:is>
      </x:c>
      <x:c r="C79" s="21" t="inlineStr">
        <x:is>
          <x:t xml:space="preserve">Text</x:t>
        </x:is>
      </x:c>
      <x:c r="D79" s="21" t="inlineStr">
        <x:is>
          <x:t xml:space="preserve">No</x:t>
        </x:is>
      </x:c>
      <x:c r="E79" s="20" t="inlineStr">
        <x:is>
          <x:t xml:space="preserve">Standardized text for mapping</x:t>
        </x:is>
      </x:c>
      <x:c r="F79" s="20" t="inlineStr">
        <x:is>
          <x:t xml:space="preserve">Trade Receivables</x:t>
        </x:is>
      </x:c>
      <x:c r="G79" s="21" t="inlineStr">
        <x:is>
          <x:t xml:space="preserve">FS_EXTRACTION_STAGING</x:t>
        </x:is>
      </x:c>
    </x:row>
    <x:row r="80">
      <x:c r="A80" s="20" t="inlineStr">
        <x:is>
          <x:t xml:space="preserve">FS_Extraction_Staging</x:t>
        </x:is>
      </x:c>
      <x:c r="B80" s="20" t="inlineStr">
        <x:is>
          <x:t xml:space="preserve">Capture_Timestamp</x:t>
        </x:is>
      </x:c>
      <x:c r="C80" s="21" t="inlineStr">
        <x:is>
          <x:t xml:space="preserve">DateTime</x:t>
        </x:is>
      </x:c>
      <x:c r="D80" s="21" t="inlineStr">
        <x:is>
          <x:t xml:space="preserve">Yes</x:t>
        </x:is>
      </x:c>
      <x:c r="E80" s="20" t="inlineStr">
        <x:is>
          <x:t xml:space="preserve">Timestamp</x:t>
        </x:is>
      </x:c>
      <x:c r="F80" s="20" t="inlineStr">
        <x:is>
          <x:t xml:space="preserve">2026-04-04 09:15:00</x:t>
        </x:is>
      </x:c>
      <x:c r="G80" s="21" t="inlineStr">
        <x:is>
          <x:t xml:space="preserve">FS_EXTRACTION_STAGING</x:t>
        </x:is>
      </x:c>
    </x:row>
    <x:row r="81">
      <x:c r="A81" s="20" t="inlineStr">
        <x:is>
          <x:t xml:space="preserve">FS_Extraction_Staging</x:t>
        </x:is>
      </x:c>
      <x:c r="B81" s="20" t="inlineStr">
        <x:is>
          <x:t xml:space="preserve">Exception_Flag</x:t>
        </x:is>
      </x:c>
      <x:c r="C81" s="21" t="inlineStr">
        <x:is>
          <x:t xml:space="preserve">Dropdown:YesNo</x:t>
        </x:is>
      </x:c>
      <x:c r="D81" s="21" t="inlineStr">
        <x:is>
          <x:t xml:space="preserve">Yes</x:t>
        </x:is>
      </x:c>
      <x:c r="E81" s="20" t="inlineStr">
        <x:is>
          <x:t xml:space="preserve">Exception / review flag</x:t>
        </x:is>
      </x:c>
      <x:c r="F81" s="20" t="inlineStr">
        <x:is>
          <x:t xml:space="preserve">No</x:t>
        </x:is>
      </x:c>
      <x:c r="G81" s="21" t="inlineStr">
        <x:is>
          <x:t xml:space="preserve">FS_EXTRACTION_STAGING</x:t>
        </x:is>
      </x:c>
    </x:row>
    <x:row r="82">
      <x:c r="A82" s="20" t="inlineStr">
        <x:is>
          <x:t xml:space="preserve">FS_Extraction_Staging</x:t>
        </x:is>
      </x:c>
      <x:c r="B82" s="20" t="inlineStr">
        <x:is>
          <x:t xml:space="preserve">Notes</x:t>
        </x:is>
      </x:c>
      <x:c r="C82" s="21" t="inlineStr">
        <x:is>
          <x:t xml:space="preserve">Text</x:t>
        </x:is>
      </x:c>
      <x:c r="D82" s="21" t="inlineStr">
        <x:is>
          <x:t xml:space="preserve">No</x:t>
        </x:is>
      </x:c>
      <x:c r="E82" s="20" t="inlineStr">
        <x:is>
          <x:t xml:space="preserve">Review note</x:t>
        </x:is>
      </x:c>
      <x:c r="F82" s="20" t="inlineStr">
        <x:is>
          <x:t xml:space="preserve"/>
        </x:is>
      </x:c>
      <x:c r="G82" s="21" t="inlineStr">
        <x:is>
          <x:t xml:space="preserve">FS_EXTRACTION_STAGING</x:t>
        </x:is>
      </x:c>
    </x:row>
    <x:row r="83">
      <x:c r="A83" s="20" t="inlineStr">
        <x:is>
          <x:t xml:space="preserve">FS_Mapping</x:t>
        </x:is>
      </x:c>
      <x:c r="B83" s="20" t="inlineStr">
        <x:is>
          <x:t xml:space="preserve">Mapping_ID</x:t>
        </x:is>
      </x:c>
      <x:c r="C83" s="21" t="inlineStr">
        <x:is>
          <x:t xml:space="preserve">Text</x:t>
        </x:is>
      </x:c>
      <x:c r="D83" s="21" t="inlineStr">
        <x:is>
          <x:t xml:space="preserve">Yes</x:t>
        </x:is>
      </x:c>
      <x:c r="E83" s="20" t="inlineStr">
        <x:is>
          <x:t xml:space="preserve">Unique mapping row id</x:t>
        </x:is>
      </x:c>
      <x:c r="F83" s="20" t="inlineStr">
        <x:is>
          <x:t xml:space="preserve">MAP-001</x:t>
        </x:is>
      </x:c>
      <x:c r="G83" s="21" t="inlineStr">
        <x:is>
          <x:t xml:space="preserve">FS_MAPPING</x:t>
        </x:is>
      </x:c>
    </x:row>
    <x:row r="84">
      <x:c r="A84" s="20" t="inlineStr">
        <x:is>
          <x:t xml:space="preserve">FS_Mapping</x:t>
        </x:is>
      </x:c>
      <x:c r="B84" s="20" t="inlineStr">
        <x:is>
          <x:t xml:space="preserve">Extraction_ID</x:t>
        </x:is>
      </x:c>
      <x:c r="C84" s="21" t="inlineStr">
        <x:is>
          <x:t xml:space="preserve">Text</x:t>
        </x:is>
      </x:c>
      <x:c r="D84" s="21" t="inlineStr">
        <x:is>
          <x:t xml:space="preserve">Yes</x:t>
        </x:is>
      </x:c>
      <x:c r="E84" s="20" t="inlineStr">
        <x:is>
          <x:t xml:space="preserve">Link to extraction staging</x:t>
        </x:is>
      </x:c>
      <x:c r="F84" s="20" t="inlineStr">
        <x:is>
          <x:t xml:space="preserve">EXT-001</x:t>
        </x:is>
      </x:c>
      <x:c r="G84" s="21" t="inlineStr">
        <x:is>
          <x:t xml:space="preserve">FS_MAPPING</x:t>
        </x:is>
      </x:c>
    </x:row>
    <x:row r="85">
      <x:c r="A85" s="20" t="inlineStr">
        <x:is>
          <x:t xml:space="preserve">FS_Mapping</x:t>
        </x:is>
      </x:c>
      <x:c r="B85" s="20" t="inlineStr">
        <x:is>
          <x:t xml:space="preserve">Engagement_ID</x:t>
        </x:is>
      </x:c>
      <x:c r="C85" s="21" t="inlineStr">
        <x:is>
          <x:t xml:space="preserve">Text</x:t>
        </x:is>
      </x:c>
      <x:c r="D85" s="21" t="inlineStr">
        <x:is>
          <x:t xml:space="preserve">Yes</x:t>
        </x:is>
      </x:c>
      <x:c r="E85" s="20" t="inlineStr">
        <x:is>
          <x:t xml:space="preserve">Engagement reference</x:t>
        </x:is>
      </x:c>
      <x:c r="F85" s="20" t="inlineStr">
        <x:is>
          <x:t xml:space="preserve">ENG-001</x:t>
        </x:is>
      </x:c>
      <x:c r="G85" s="21" t="inlineStr">
        <x:is>
          <x:t xml:space="preserve">FS_MAPPING</x:t>
        </x:is>
      </x:c>
    </x:row>
    <x:row r="86">
      <x:c r="A86" s="20" t="inlineStr">
        <x:is>
          <x:t xml:space="preserve">FS_Mapping</x:t>
        </x:is>
      </x:c>
      <x:c r="B86" s="20" t="inlineStr">
        <x:is>
          <x:t xml:space="preserve">Statement_Type</x:t>
        </x:is>
      </x:c>
      <x:c r="C86" s="21" t="inlineStr">
        <x:is>
          <x:t xml:space="preserve">Dropdown:Statement_Type</x:t>
        </x:is>
      </x:c>
      <x:c r="D86" s="21" t="inlineStr">
        <x:is>
          <x:t xml:space="preserve">Yes</x:t>
        </x:is>
      </x:c>
      <x:c r="E86" s="20" t="inlineStr">
        <x:is>
          <x:t xml:space="preserve">Mapped statement</x:t>
        </x:is>
      </x:c>
      <x:c r="F86" s="20" t="inlineStr">
        <x:is>
          <x:t xml:space="preserve">Statement of Financial Position</x:t>
        </x:is>
      </x:c>
      <x:c r="G86" s="21" t="inlineStr">
        <x:is>
          <x:t xml:space="preserve">FS_MAPPING</x:t>
        </x:is>
      </x:c>
    </x:row>
    <x:row r="87">
      <x:c r="A87" s="20" t="inlineStr">
        <x:is>
          <x:t xml:space="preserve">FS_Mapping</x:t>
        </x:is>
      </x:c>
      <x:c r="B87" s="20" t="inlineStr">
        <x:is>
          <x:t xml:space="preserve">FS_Line_Item</x:t>
        </x:is>
      </x:c>
      <x:c r="C87" s="21" t="inlineStr">
        <x:is>
          <x:t xml:space="preserve">Text</x:t>
        </x:is>
      </x:c>
      <x:c r="D87" s="21" t="inlineStr">
        <x:is>
          <x:t xml:space="preserve">Yes</x:t>
        </x:is>
      </x:c>
      <x:c r="E87" s="20" t="inlineStr">
        <x:is>
          <x:t xml:space="preserve">Normalized FS line item</x:t>
        </x:is>
      </x:c>
      <x:c r="F87" s="20" t="inlineStr">
        <x:is>
          <x:t xml:space="preserve">Trade Receivables</x:t>
        </x:is>
      </x:c>
      <x:c r="G87" s="21" t="inlineStr">
        <x:is>
          <x:t xml:space="preserve">FS_MAPPING</x:t>
        </x:is>
      </x:c>
    </x:row>
    <x:row r="88">
      <x:c r="A88" s="20" t="inlineStr">
        <x:is>
          <x:t xml:space="preserve">FS_Mapping</x:t>
        </x:is>
      </x:c>
      <x:c r="B88" s="20" t="inlineStr">
        <x:is>
          <x:t xml:space="preserve">FS_Note_No</x:t>
        </x:is>
      </x:c>
      <x:c r="C88" s="21" t="inlineStr">
        <x:is>
          <x:t xml:space="preserve">Text</x:t>
        </x:is>
      </x:c>
      <x:c r="D88" s="21" t="inlineStr">
        <x:is>
          <x:t xml:space="preserve">No</x:t>
        </x:is>
      </x:c>
      <x:c r="E88" s="20" t="inlineStr">
        <x:is>
          <x:t xml:space="preserve">Note reference</x:t>
        </x:is>
      </x:c>
      <x:c r="F88" s="20" t="inlineStr">
        <x:is>
          <x:t xml:space="preserve">6</x:t>
        </x:is>
      </x:c>
      <x:c r="G88" s="21" t="inlineStr">
        <x:is>
          <x:t xml:space="preserve">FS_MAPPING</x:t>
        </x:is>
      </x:c>
    </x:row>
    <x:row r="89">
      <x:c r="A89" s="20" t="inlineStr">
        <x:is>
          <x:t xml:space="preserve">FS_Mapping</x:t>
        </x:is>
      </x:c>
      <x:c r="B89" s="20" t="inlineStr">
        <x:is>
          <x:t xml:space="preserve">Current_Amount</x:t>
        </x:is>
      </x:c>
      <x:c r="C89" s="21" t="inlineStr">
        <x:is>
          <x:t xml:space="preserve">Number</x:t>
        </x:is>
      </x:c>
      <x:c r="D89" s="21" t="inlineStr">
        <x:is>
          <x:t xml:space="preserve">No</x:t>
        </x:is>
      </x:c>
      <x:c r="E89" s="20" t="inlineStr">
        <x:is>
          <x:t xml:space="preserve">Mapped current amount</x:t>
        </x:is>
      </x:c>
      <x:c r="F89" s="20" t="inlineStr">
        <x:is>
          <x:t xml:space="preserve">1700000</x:t>
        </x:is>
      </x:c>
      <x:c r="G89" s="21" t="inlineStr">
        <x:is>
          <x:t xml:space="preserve">FS_MAPPING</x:t>
        </x:is>
      </x:c>
    </x:row>
    <x:row r="90">
      <x:c r="A90" s="20" t="inlineStr">
        <x:is>
          <x:t xml:space="preserve">FS_Mapping</x:t>
        </x:is>
      </x:c>
      <x:c r="B90" s="20" t="inlineStr">
        <x:is>
          <x:t xml:space="preserve">Prior_Amount</x:t>
        </x:is>
      </x:c>
      <x:c r="C90" s="21" t="inlineStr">
        <x:is>
          <x:t xml:space="preserve">Number</x:t>
        </x:is>
      </x:c>
      <x:c r="D90" s="21" t="inlineStr">
        <x:is>
          <x:t xml:space="preserve">No</x:t>
        </x:is>
      </x:c>
      <x:c r="E90" s="20" t="inlineStr">
        <x:is>
          <x:t xml:space="preserve">Mapped prior amount</x:t>
        </x:is>
      </x:c>
      <x:c r="F90" s="20" t="inlineStr">
        <x:is>
          <x:t xml:space="preserve">1300000</x:t>
        </x:is>
      </x:c>
      <x:c r="G90" s="21" t="inlineStr">
        <x:is>
          <x:t xml:space="preserve">FS_MAPPING</x:t>
        </x:is>
      </x:c>
    </x:row>
    <x:row r="91">
      <x:c r="A91" s="20" t="inlineStr">
        <x:is>
          <x:t xml:space="preserve">FS_Mapping</x:t>
        </x:is>
      </x:c>
      <x:c r="B91" s="20" t="inlineStr">
        <x:is>
          <x:t xml:space="preserve">Account_Code</x:t>
        </x:is>
      </x:c>
      <x:c r="C91" s="21" t="inlineStr">
        <x:is>
          <x:t xml:space="preserve">Text</x:t>
        </x:is>
      </x:c>
      <x:c r="D91" s="21" t="inlineStr">
        <x:is>
          <x:t xml:space="preserve">Yes</x:t>
        </x:is>
      </x:c>
      <x:c r="E91" s="20" t="inlineStr">
        <x:is>
          <x:t xml:space="preserve">Mapped account code</x:t>
        </x:is>
      </x:c>
      <x:c r="F91" s="20" t="inlineStr">
        <x:is>
          <x:t xml:space="preserve">152101</x:t>
        </x:is>
      </x:c>
      <x:c r="G91" s="21" t="inlineStr">
        <x:is>
          <x:t xml:space="preserve">FS_MAPPING</x:t>
        </x:is>
      </x:c>
    </x:row>
    <x:row r="92">
      <x:c r="A92" s="20" t="inlineStr">
        <x:is>
          <x:t xml:space="preserve">FS_Mapping</x:t>
        </x:is>
      </x:c>
      <x:c r="B92" s="20" t="inlineStr">
        <x:is>
          <x:t xml:space="preserve">Account_Name</x:t>
        </x:is>
      </x:c>
      <x:c r="C92" s="21" t="inlineStr">
        <x:is>
          <x:t xml:space="preserve">Formula</x:t>
        </x:is>
      </x:c>
      <x:c r="D92" s="21" t="inlineStr">
        <x:is>
          <x:t xml:space="preserve">Yes</x:t>
        </x:is>
      </x:c>
      <x:c r="E92" s="20" t="inlineStr">
        <x:is>
          <x:t xml:space="preserve">Pulled from CoA</x:t>
        </x:is>
      </x:c>
      <x:c r="F92" s="20" t="inlineStr">
        <x:is>
          <x:t xml:space="preserve"/>
        </x:is>
      </x:c>
      <x:c r="G92" s="21" t="inlineStr">
        <x:is>
          <x:t xml:space="preserve">FS_MAPPING</x:t>
        </x:is>
      </x:c>
    </x:row>
    <x:row r="93">
      <x:c r="A93" s="20" t="inlineStr">
        <x:is>
          <x:t xml:space="preserve">FS_Mapping</x:t>
        </x:is>
      </x:c>
      <x:c r="B93" s="20" t="inlineStr">
        <x:is>
          <x:t xml:space="preserve">Mapping_FS_Line</x:t>
        </x:is>
      </x:c>
      <x:c r="C93" s="21" t="inlineStr">
        <x:is>
          <x:t xml:space="preserve">Text</x:t>
        </x:is>
      </x:c>
      <x:c r="D93" s="21" t="inlineStr">
        <x:is>
          <x:t xml:space="preserve">Yes</x:t>
        </x:is>
      </x:c>
      <x:c r="E93" s="20" t="inlineStr">
        <x:is>
          <x:t xml:space="preserve">Exact output line</x:t>
        </x:is>
      </x:c>
      <x:c r="F93" s="20" t="inlineStr">
        <x:is>
          <x:t xml:space="preserve">Trade Receivables</x:t>
        </x:is>
      </x:c>
      <x:c r="G93" s="21" t="inlineStr">
        <x:is>
          <x:t xml:space="preserve">FS_MAPPING</x:t>
        </x:is>
      </x:c>
    </x:row>
    <x:row r="94">
      <x:c r="A94" s="20" t="inlineStr">
        <x:is>
          <x:t xml:space="preserve">FS_Mapping</x:t>
        </x:is>
      </x:c>
      <x:c r="B94" s="20" t="inlineStr">
        <x:is>
          <x:t xml:space="preserve">Mapping_Method</x:t>
        </x:is>
      </x:c>
      <x:c r="C94" s="21" t="inlineStr">
        <x:is>
          <x:t xml:space="preserve">Dropdown:Mapping_Method</x:t>
        </x:is>
      </x:c>
      <x:c r="D94" s="21" t="inlineStr">
        <x:is>
          <x:t xml:space="preserve">Yes</x:t>
        </x:is>
      </x:c>
      <x:c r="E94" s="20" t="inlineStr">
        <x:is>
          <x:t xml:space="preserve">Method used</x:t>
        </x:is>
      </x:c>
      <x:c r="F94" s="20" t="inlineStr">
        <x:is>
          <x:t xml:space="preserve">AI Assisted</x:t>
        </x:is>
      </x:c>
      <x:c r="G94" s="21" t="inlineStr">
        <x:is>
          <x:t xml:space="preserve">FS_MAPPING</x:t>
        </x:is>
      </x:c>
    </x:row>
    <x:row r="95">
      <x:c r="A95" s="20" t="inlineStr">
        <x:is>
          <x:t xml:space="preserve">FS_Mapping</x:t>
        </x:is>
      </x:c>
      <x:c r="B95" s="20" t="inlineStr">
        <x:is>
          <x:t xml:space="preserve">Mapping_Confidence</x:t>
        </x:is>
      </x:c>
      <x:c r="C95" s="21" t="inlineStr">
        <x:is>
          <x:t xml:space="preserve">Number</x:t>
        </x:is>
      </x:c>
      <x:c r="D95" s="21" t="inlineStr">
        <x:is>
          <x:t xml:space="preserve">Yes</x:t>
        </x:is>
      </x:c>
      <x:c r="E95" s="20" t="inlineStr">
        <x:is>
          <x:t xml:space="preserve">Confidence %</x:t>
        </x:is>
      </x:c>
      <x:c r="F95" s="20" t="inlineStr">
        <x:is>
          <x:t xml:space="preserve">96</x:t>
        </x:is>
      </x:c>
      <x:c r="G95" s="21" t="inlineStr">
        <x:is>
          <x:t xml:space="preserve">FS_MAPPING</x:t>
        </x:is>
      </x:c>
    </x:row>
    <x:row r="96">
      <x:c r="A96" s="20" t="inlineStr">
        <x:is>
          <x:t xml:space="preserve">FS_Mapping</x:t>
        </x:is>
      </x:c>
      <x:c r="B96" s="20" t="inlineStr">
        <x:is>
          <x:t xml:space="preserve">Reconciliation_Flag</x:t>
        </x:is>
      </x:c>
      <x:c r="C96" s="21" t="inlineStr">
        <x:is>
          <x:t xml:space="preserve">Dropdown:YesNo</x:t>
        </x:is>
      </x:c>
      <x:c r="D96" s="21" t="inlineStr">
        <x:is>
          <x:t xml:space="preserve">Yes</x:t>
        </x:is>
      </x:c>
      <x:c r="E96" s="20" t="inlineStr">
        <x:is>
          <x:t xml:space="preserve">Amount reconciled</x:t>
        </x:is>
      </x:c>
      <x:c r="F96" s="20" t="inlineStr">
        <x:is>
          <x:t xml:space="preserve">Yes</x:t>
        </x:is>
      </x:c>
      <x:c r="G96" s="21" t="inlineStr">
        <x:is>
          <x:t xml:space="preserve">FS_MAPPING</x:t>
        </x:is>
      </x:c>
    </x:row>
    <x:row r="97">
      <x:c r="A97" s="20" t="inlineStr">
        <x:is>
          <x:t xml:space="preserve">FS_Mapping</x:t>
        </x:is>
      </x:c>
      <x:c r="B97" s="20" t="inlineStr">
        <x:is>
          <x:t xml:space="preserve">Exception_Flag</x:t>
        </x:is>
      </x:c>
      <x:c r="C97" s="21" t="inlineStr">
        <x:is>
          <x:t xml:space="preserve">Dropdown:YesNo</x:t>
        </x:is>
      </x:c>
      <x:c r="D97" s="21" t="inlineStr">
        <x:is>
          <x:t xml:space="preserve">Yes</x:t>
        </x:is>
      </x:c>
      <x:c r="E97" s="20" t="inlineStr">
        <x:is>
          <x:t xml:space="preserve">Review flag</x:t>
        </x:is>
      </x:c>
      <x:c r="F97" s="20" t="inlineStr">
        <x:is>
          <x:t xml:space="preserve">No</x:t>
        </x:is>
      </x:c>
      <x:c r="G97" s="21" t="inlineStr">
        <x:is>
          <x:t xml:space="preserve">FS_MAPPING</x:t>
        </x:is>
      </x:c>
    </x:row>
    <x:row r="98">
      <x:c r="A98" s="20" t="inlineStr">
        <x:is>
          <x:t xml:space="preserve">FS_Mapping</x:t>
        </x:is>
      </x:c>
      <x:c r="B98" s="20" t="inlineStr">
        <x:is>
          <x:t xml:space="preserve">Reviewer_Note</x:t>
        </x:is>
      </x:c>
      <x:c r="C98" s="21" t="inlineStr">
        <x:is>
          <x:t xml:space="preserve">Text</x:t>
        </x:is>
      </x:c>
      <x:c r="D98" s="21" t="inlineStr">
        <x:is>
          <x:t xml:space="preserve">No</x:t>
        </x:is>
      </x:c>
      <x:c r="E98" s="20" t="inlineStr">
        <x:is>
          <x:t xml:space="preserve">Review note</x:t>
        </x:is>
      </x:c>
      <x:c r="F98" s="20" t="inlineStr">
        <x:is>
          <x:t xml:space="preserve"/>
        </x:is>
      </x:c>
      <x:c r="G98" s="21" t="inlineStr">
        <x:is>
          <x:t xml:space="preserve">FS_MAPPING</x:t>
        </x:is>
      </x:c>
    </x:row>
    <x:row r="99">
      <x:c r="A99" s="20" t="inlineStr">
        <x:is>
          <x:t xml:space="preserve">Journal_Import</x:t>
        </x:is>
      </x:c>
      <x:c r="B99" s="20" t="inlineStr">
        <x:is>
          <x:t xml:space="preserve">Journal_ID</x:t>
        </x:is>
      </x:c>
      <x:c r="C99" s="21" t="inlineStr">
        <x:is>
          <x:t xml:space="preserve">Text</x:t>
        </x:is>
      </x:c>
      <x:c r="D99" s="21" t="inlineStr">
        <x:is>
          <x:t xml:space="preserve">Yes</x:t>
        </x:is>
      </x:c>
      <x:c r="E99" s="20" t="inlineStr">
        <x:is>
          <x:t xml:space="preserve">Unique journal line id</x:t>
        </x:is>
      </x:c>
      <x:c r="F99" s="20" t="inlineStr">
        <x:is>
          <x:t xml:space="preserve">JNL-0001-01</x:t>
        </x:is>
      </x:c>
      <x:c r="G99" s="21" t="inlineStr">
        <x:is>
          <x:t xml:space="preserve">JOURNAL_IMPORT</x:t>
        </x:is>
      </x:c>
    </x:row>
    <x:row r="100">
      <x:c r="A100" s="20" t="inlineStr">
        <x:is>
          <x:t xml:space="preserve">Journal_Import</x:t>
        </x:is>
      </x:c>
      <x:c r="B100" s="20" t="inlineStr">
        <x:is>
          <x:t xml:space="preserve">Engagement_ID</x:t>
        </x:is>
      </x:c>
      <x:c r="C100" s="21" t="inlineStr">
        <x:is>
          <x:t xml:space="preserve">Text</x:t>
        </x:is>
      </x:c>
      <x:c r="D100" s="21" t="inlineStr">
        <x:is>
          <x:t xml:space="preserve">Yes</x:t>
        </x:is>
      </x:c>
      <x:c r="E100" s="20" t="inlineStr">
        <x:is>
          <x:t xml:space="preserve">Engagement reference</x:t>
        </x:is>
      </x:c>
      <x:c r="F100" s="20" t="inlineStr">
        <x:is>
          <x:t xml:space="preserve">ENG-001</x:t>
        </x:is>
      </x:c>
      <x:c r="G100" s="21" t="inlineStr">
        <x:is>
          <x:t xml:space="preserve">JOURNAL_IMPORT</x:t>
        </x:is>
      </x:c>
    </x:row>
    <x:row r="101">
      <x:c r="A101" s="20" t="inlineStr">
        <x:is>
          <x:t xml:space="preserve">Journal_Import</x:t>
        </x:is>
      </x:c>
      <x:c r="B101" s="20" t="inlineStr">
        <x:is>
          <x:t xml:space="preserve">Entry_No</x:t>
        </x:is>
      </x:c>
      <x:c r="C101" s="21" t="inlineStr">
        <x:is>
          <x:t xml:space="preserve">Text</x:t>
        </x:is>
      </x:c>
      <x:c r="D101" s="21" t="inlineStr">
        <x:is>
          <x:t xml:space="preserve">Yes</x:t>
        </x:is>
      </x:c>
      <x:c r="E101" s="20" t="inlineStr">
        <x:is>
          <x:t xml:space="preserve">Voucher / entry number</x:t>
        </x:is>
      </x:c>
      <x:c r="F101" s="20" t="inlineStr">
        <x:is>
          <x:t xml:space="preserve">JV-0001</x:t>
        </x:is>
      </x:c>
      <x:c r="G101" s="21" t="inlineStr">
        <x:is>
          <x:t xml:space="preserve">JOURNAL_IMPORT</x:t>
        </x:is>
      </x:c>
    </x:row>
    <x:row r="102">
      <x:c r="A102" s="20" t="inlineStr">
        <x:is>
          <x:t xml:space="preserve">Journal_Import</x:t>
        </x:is>
      </x:c>
      <x:c r="B102" s="20" t="inlineStr">
        <x:is>
          <x:t xml:space="preserve">Entry_Date</x:t>
        </x:is>
      </x:c>
      <x:c r="C102" s="21" t="inlineStr">
        <x:is>
          <x:t xml:space="preserve">Date</x:t>
        </x:is>
      </x:c>
      <x:c r="D102" s="21" t="inlineStr">
        <x:is>
          <x:t xml:space="preserve">Yes</x:t>
        </x:is>
      </x:c>
      <x:c r="E102" s="20" t="inlineStr">
        <x:is>
          <x:t xml:space="preserve">Posting date</x:t>
        </x:is>
      </x:c>
      <x:c r="F102" s="20" t="inlineStr">
        <x:is>
          <x:t xml:space="preserve">2025-06-01</x:t>
        </x:is>
      </x:c>
      <x:c r="G102" s="21" t="inlineStr">
        <x:is>
          <x:t xml:space="preserve">JOURNAL_IMPORT</x:t>
        </x:is>
      </x:c>
    </x:row>
    <x:row r="103">
      <x:c r="A103" s="20" t="inlineStr">
        <x:is>
          <x:t xml:space="preserve">Journal_Import</x:t>
        </x:is>
      </x:c>
      <x:c r="B103" s="20" t="inlineStr">
        <x:is>
          <x:t xml:space="preserve">Period</x:t>
        </x:is>
      </x:c>
      <x:c r="C103" s="21" t="inlineStr">
        <x:is>
          <x:t xml:space="preserve">Text</x:t>
        </x:is>
      </x:c>
      <x:c r="D103" s="21" t="inlineStr">
        <x:is>
          <x:t xml:space="preserve">Yes</x:t>
        </x:is>
      </x:c>
      <x:c r="E103" s="20" t="inlineStr">
        <x:is>
          <x:t xml:space="preserve">Accounting period</x:t>
        </x:is>
      </x:c>
      <x:c r="F103" s="20" t="inlineStr">
        <x:is>
          <x:t xml:space="preserve">2025-06</x:t>
        </x:is>
      </x:c>
      <x:c r="G103" s="21" t="inlineStr">
        <x:is>
          <x:t xml:space="preserve">JOURNAL_IMPORT</x:t>
        </x:is>
      </x:c>
    </x:row>
    <x:row r="104">
      <x:c r="A104" s="20" t="inlineStr">
        <x:is>
          <x:t xml:space="preserve">Journal_Import</x:t>
        </x:is>
      </x:c>
      <x:c r="B104" s="20" t="inlineStr">
        <x:is>
          <x:t xml:space="preserve">Voucher_Type</x:t>
        </x:is>
      </x:c>
      <x:c r="C104" s="21" t="inlineStr">
        <x:is>
          <x:t xml:space="preserve">Dropdown:Voucher_Type</x:t>
        </x:is>
      </x:c>
      <x:c r="D104" s="21" t="inlineStr">
        <x:is>
          <x:t xml:space="preserve">Yes</x:t>
        </x:is>
      </x:c>
      <x:c r="E104" s="20" t="inlineStr">
        <x:is>
          <x:t xml:space="preserve">Voucher type</x:t>
        </x:is>
      </x:c>
      <x:c r="F104" s="20" t="inlineStr">
        <x:is>
          <x:t xml:space="preserve">Sales</x:t>
        </x:is>
      </x:c>
      <x:c r="G104" s="21" t="inlineStr">
        <x:is>
          <x:t xml:space="preserve">JOURNAL_IMPORT</x:t>
        </x:is>
      </x:c>
    </x:row>
    <x:row r="105">
      <x:c r="A105" s="20" t="inlineStr">
        <x:is>
          <x:t xml:space="preserve">Journal_Import</x:t>
        </x:is>
      </x:c>
      <x:c r="B105" s="20" t="inlineStr">
        <x:is>
          <x:t xml:space="preserve">Document_No</x:t>
        </x:is>
      </x:c>
      <x:c r="C105" s="21" t="inlineStr">
        <x:is>
          <x:t xml:space="preserve">Text</x:t>
        </x:is>
      </x:c>
      <x:c r="D105" s="21" t="inlineStr">
        <x:is>
          <x:t xml:space="preserve">No</x:t>
        </x:is>
      </x:c>
      <x:c r="E105" s="20" t="inlineStr">
        <x:is>
          <x:t xml:space="preserve">Source document / reference</x:t>
        </x:is>
      </x:c>
      <x:c r="F105" s="20" t="inlineStr">
        <x:is>
          <x:t xml:space="preserve">INV-1001</x:t>
        </x:is>
      </x:c>
      <x:c r="G105" s="21" t="inlineStr">
        <x:is>
          <x:t xml:space="preserve">JOURNAL_IMPORT</x:t>
        </x:is>
      </x:c>
    </x:row>
    <x:row r="106">
      <x:c r="A106" s="20" t="inlineStr">
        <x:is>
          <x:t xml:space="preserve">Journal_Import</x:t>
        </x:is>
      </x:c>
      <x:c r="B106" s="20" t="inlineStr">
        <x:is>
          <x:t xml:space="preserve">Narration</x:t>
        </x:is>
      </x:c>
      <x:c r="C106" s="21" t="inlineStr">
        <x:is>
          <x:t xml:space="preserve">Text</x:t>
        </x:is>
      </x:c>
      <x:c r="D106" s="21" t="inlineStr">
        <x:is>
          <x:t xml:space="preserve">Yes</x:t>
        </x:is>
      </x:c>
      <x:c r="E106" s="20" t="inlineStr">
        <x:is>
          <x:t xml:space="preserve">Narration</x:t>
        </x:is>
      </x:c>
      <x:c r="F106" s="20" t="inlineStr">
        <x:is>
          <x:t xml:space="preserve">Sales invoice - customer A</x:t>
        </x:is>
      </x:c>
      <x:c r="G106" s="21" t="inlineStr">
        <x:is>
          <x:t xml:space="preserve">JOURNAL_IMPORT</x:t>
        </x:is>
      </x:c>
    </x:row>
    <x:row r="107">
      <x:c r="A107" s="20" t="inlineStr">
        <x:is>
          <x:t xml:space="preserve">Journal_Import</x:t>
        </x:is>
      </x:c>
      <x:c r="B107" s="20" t="inlineStr">
        <x:is>
          <x:t xml:space="preserve">Account_Code</x:t>
        </x:is>
      </x:c>
      <x:c r="C107" s="21" t="inlineStr">
        <x:is>
          <x:t xml:space="preserve">Text</x:t>
        </x:is>
      </x:c>
      <x:c r="D107" s="21" t="inlineStr">
        <x:is>
          <x:t xml:space="preserve">Yes</x:t>
        </x:is>
      </x:c>
      <x:c r="E107" s="20" t="inlineStr">
        <x:is>
          <x:t xml:space="preserve">GL account code</x:t>
        </x:is>
      </x:c>
      <x:c r="F107" s="20" t="inlineStr">
        <x:is>
          <x:t xml:space="preserve">152101</x:t>
        </x:is>
      </x:c>
      <x:c r="G107" s="21" t="inlineStr">
        <x:is>
          <x:t xml:space="preserve">JOURNAL_IMPORT</x:t>
        </x:is>
      </x:c>
    </x:row>
    <x:row r="108">
      <x:c r="A108" s="20" t="inlineStr">
        <x:is>
          <x:t xml:space="preserve">Journal_Import</x:t>
        </x:is>
      </x:c>
      <x:c r="B108" s="20" t="inlineStr">
        <x:is>
          <x:t xml:space="preserve">Account_Name</x:t>
        </x:is>
      </x:c>
      <x:c r="C108" s="21" t="inlineStr">
        <x:is>
          <x:t xml:space="preserve">Formula</x:t>
        </x:is>
      </x:c>
      <x:c r="D108" s="21" t="inlineStr">
        <x:is>
          <x:t xml:space="preserve">Yes</x:t>
        </x:is>
      </x:c>
      <x:c r="E108" s="20" t="inlineStr">
        <x:is>
          <x:t xml:space="preserve">Pulled from CoA</x:t>
        </x:is>
      </x:c>
      <x:c r="F108" s="20" t="inlineStr">
        <x:is>
          <x:t xml:space="preserve"/>
        </x:is>
      </x:c>
      <x:c r="G108" s="21" t="inlineStr">
        <x:is>
          <x:t xml:space="preserve">JOURNAL_IMPORT</x:t>
        </x:is>
      </x:c>
    </x:row>
    <x:row r="109">
      <x:c r="A109" s="20" t="inlineStr">
        <x:is>
          <x:t xml:space="preserve">Journal_Import</x:t>
        </x:is>
      </x:c>
      <x:c r="B109" s="20" t="inlineStr">
        <x:is>
          <x:t xml:space="preserve">Cost_Center</x:t>
        </x:is>
      </x:c>
      <x:c r="C109" s="21" t="inlineStr">
        <x:is>
          <x:t xml:space="preserve">Text</x:t>
        </x:is>
      </x:c>
      <x:c r="D109" s="21" t="inlineStr">
        <x:is>
          <x:t xml:space="preserve">No</x:t>
        </x:is>
      </x:c>
      <x:c r="E109" s="20" t="inlineStr">
        <x:is>
          <x:t xml:space="preserve">Cost center</x:t>
        </x:is>
      </x:c>
      <x:c r="F109" s="20" t="inlineStr">
        <x:is>
          <x:t xml:space="preserve">HO</x:t>
        </x:is>
      </x:c>
      <x:c r="G109" s="21" t="inlineStr">
        <x:is>
          <x:t xml:space="preserve">JOURNAL_IMPORT</x:t>
        </x:is>
      </x:c>
    </x:row>
    <x:row r="110">
      <x:c r="A110" s="20" t="inlineStr">
        <x:is>
          <x:t xml:space="preserve">Journal_Import</x:t>
        </x:is>
      </x:c>
      <x:c r="B110" s="20" t="inlineStr">
        <x:is>
          <x:t xml:space="preserve">Department</x:t>
        </x:is>
      </x:c>
      <x:c r="C110" s="21" t="inlineStr">
        <x:is>
          <x:t xml:space="preserve">Text</x:t>
        </x:is>
      </x:c>
      <x:c r="D110" s="21" t="inlineStr">
        <x:is>
          <x:t xml:space="preserve">No</x:t>
        </x:is>
      </x:c>
      <x:c r="E110" s="20" t="inlineStr">
        <x:is>
          <x:t xml:space="preserve">Department</x:t>
        </x:is>
      </x:c>
      <x:c r="F110" s="20" t="inlineStr">
        <x:is>
          <x:t xml:space="preserve">Sales</x:t>
        </x:is>
      </x:c>
      <x:c r="G110" s="21" t="inlineStr">
        <x:is>
          <x:t xml:space="preserve">JOURNAL_IMPORT</x:t>
        </x:is>
      </x:c>
    </x:row>
    <x:row r="111">
      <x:c r="A111" s="20" t="inlineStr">
        <x:is>
          <x:t xml:space="preserve">Journal_Import</x:t>
        </x:is>
      </x:c>
      <x:c r="B111" s="20" t="inlineStr">
        <x:is>
          <x:t xml:space="preserve">Project_Code</x:t>
        </x:is>
      </x:c>
      <x:c r="C111" s="21" t="inlineStr">
        <x:is>
          <x:t xml:space="preserve">Text</x:t>
        </x:is>
      </x:c>
      <x:c r="D111" s="21" t="inlineStr">
        <x:is>
          <x:t xml:space="preserve">No</x:t>
        </x:is>
      </x:c>
      <x:c r="E111" s="20" t="inlineStr">
        <x:is>
          <x:t xml:space="preserve">Project / donor / contract</x:t>
        </x:is>
      </x:c>
      <x:c r="F111" s="20" t="inlineStr">
        <x:is>
          <x:t xml:space="preserve"/>
        </x:is>
      </x:c>
      <x:c r="G111" s="21" t="inlineStr">
        <x:is>
          <x:t xml:space="preserve">JOURNAL_IMPORT</x:t>
        </x:is>
      </x:c>
    </x:row>
    <x:row r="112">
      <x:c r="A112" s="20" t="inlineStr">
        <x:is>
          <x:t xml:space="preserve">Journal_Import</x:t>
        </x:is>
      </x:c>
      <x:c r="B112" s="20" t="inlineStr">
        <x:is>
          <x:t xml:space="preserve">Party_Code</x:t>
        </x:is>
      </x:c>
      <x:c r="C112" s="21" t="inlineStr">
        <x:is>
          <x:t xml:space="preserve">Text</x:t>
        </x:is>
      </x:c>
      <x:c r="D112" s="21" t="inlineStr">
        <x:is>
          <x:t xml:space="preserve">No</x:t>
        </x:is>
      </x:c>
      <x:c r="E112" s="20" t="inlineStr">
        <x:is>
          <x:t xml:space="preserve">Customer / supplier / employee</x:t>
        </x:is>
      </x:c>
      <x:c r="F112" s="20" t="inlineStr">
        <x:is>
          <x:t xml:space="preserve">CUST-A</x:t>
        </x:is>
      </x:c>
      <x:c r="G112" s="21" t="inlineStr">
        <x:is>
          <x:t xml:space="preserve">JOURNAL_IMPORT</x:t>
        </x:is>
      </x:c>
    </x:row>
    <x:row r="113">
      <x:c r="A113" s="20" t="inlineStr">
        <x:is>
          <x:t xml:space="preserve">Journal_Import</x:t>
        </x:is>
      </x:c>
      <x:c r="B113" s="20" t="inlineStr">
        <x:is>
          <x:t xml:space="preserve">Debit_Amount</x:t>
        </x:is>
      </x:c>
      <x:c r="C113" s="21" t="inlineStr">
        <x:is>
          <x:t xml:space="preserve">Number</x:t>
        </x:is>
      </x:c>
      <x:c r="D113" s="21" t="inlineStr">
        <x:is>
          <x:t xml:space="preserve">Yes</x:t>
        </x:is>
      </x:c>
      <x:c r="E113" s="20" t="inlineStr">
        <x:is>
          <x:t xml:space="preserve">Source currency debit</x:t>
        </x:is>
      </x:c>
      <x:c r="F113" s="20" t="inlineStr">
        <x:is>
          <x:t xml:space="preserve">500000</x:t>
        </x:is>
      </x:c>
      <x:c r="G113" s="21" t="inlineStr">
        <x:is>
          <x:t xml:space="preserve">JOURNAL_IMPORT</x:t>
        </x:is>
      </x:c>
    </x:row>
    <x:row r="114">
      <x:c r="A114" s="20" t="inlineStr">
        <x:is>
          <x:t xml:space="preserve">Journal_Import</x:t>
        </x:is>
      </x:c>
      <x:c r="B114" s="20" t="inlineStr">
        <x:is>
          <x:t xml:space="preserve">Credit_Amount</x:t>
        </x:is>
      </x:c>
      <x:c r="C114" s="21" t="inlineStr">
        <x:is>
          <x:t xml:space="preserve">Number</x:t>
        </x:is>
      </x:c>
      <x:c r="D114" s="21" t="inlineStr">
        <x:is>
          <x:t xml:space="preserve">Yes</x:t>
        </x:is>
      </x:c>
      <x:c r="E114" s="20" t="inlineStr">
        <x:is>
          <x:t xml:space="preserve">Source currency credit</x:t>
        </x:is>
      </x:c>
      <x:c r="F114" s="20" t="inlineStr">
        <x:is>
          <x:t xml:space="preserve">0</x:t>
        </x:is>
      </x:c>
      <x:c r="G114" s="21" t="inlineStr">
        <x:is>
          <x:t xml:space="preserve">JOURNAL_IMPORT</x:t>
        </x:is>
      </x:c>
    </x:row>
    <x:row r="115">
      <x:c r="A115" s="20" t="inlineStr">
        <x:is>
          <x:t xml:space="preserve">Journal_Import</x:t>
        </x:is>
      </x:c>
      <x:c r="B115" s="20" t="inlineStr">
        <x:is>
          <x:t xml:space="preserve">Currency</x:t>
        </x:is>
      </x:c>
      <x:c r="C115" s="21" t="inlineStr">
        <x:is>
          <x:t xml:space="preserve">Text</x:t>
        </x:is>
      </x:c>
      <x:c r="D115" s="21" t="inlineStr">
        <x:is>
          <x:t xml:space="preserve">Yes</x:t>
        </x:is>
      </x:c>
      <x:c r="E115" s="20" t="inlineStr">
        <x:is>
          <x:t xml:space="preserve">Transaction currency</x:t>
        </x:is>
      </x:c>
      <x:c r="F115" s="20" t="inlineStr">
        <x:is>
          <x:t xml:space="preserve">PKR</x:t>
        </x:is>
      </x:c>
      <x:c r="G115" s="21" t="inlineStr">
        <x:is>
          <x:t xml:space="preserve">JOURNAL_IMPORT</x:t>
        </x:is>
      </x:c>
    </x:row>
    <x:row r="116">
      <x:c r="A116" s="20" t="inlineStr">
        <x:is>
          <x:t xml:space="preserve">Journal_Import</x:t>
        </x:is>
      </x:c>
      <x:c r="B116" s="20" t="inlineStr">
        <x:is>
          <x:t xml:space="preserve">Exchange_Rate</x:t>
        </x:is>
      </x:c>
      <x:c r="C116" s="21" t="inlineStr">
        <x:is>
          <x:t xml:space="preserve">Number</x:t>
        </x:is>
      </x:c>
      <x:c r="D116" s="21" t="inlineStr">
        <x:is>
          <x:t xml:space="preserve">Yes</x:t>
        </x:is>
      </x:c>
      <x:c r="E116" s="20" t="inlineStr">
        <x:is>
          <x:t xml:space="preserve">Rate to base currency</x:t>
        </x:is>
      </x:c>
      <x:c r="F116" s="20" t="inlineStr">
        <x:is>
          <x:t xml:space="preserve">1</x:t>
        </x:is>
      </x:c>
      <x:c r="G116" s="21" t="inlineStr">
        <x:is>
          <x:t xml:space="preserve">JOURNAL_IMPORT</x:t>
        </x:is>
      </x:c>
    </x:row>
    <x:row r="117">
      <x:c r="A117" s="20" t="inlineStr">
        <x:is>
          <x:t xml:space="preserve">Journal_Import</x:t>
        </x:is>
      </x:c>
      <x:c r="B117" s="20" t="inlineStr">
        <x:is>
          <x:t xml:space="preserve">Base_Debit</x:t>
        </x:is>
      </x:c>
      <x:c r="C117" s="21" t="inlineStr">
        <x:is>
          <x:t xml:space="preserve">Formula</x:t>
        </x:is>
      </x:c>
      <x:c r="D117" s="21" t="inlineStr">
        <x:is>
          <x:t xml:space="preserve">Yes</x:t>
        </x:is>
      </x:c>
      <x:c r="E117" s="20" t="inlineStr">
        <x:is>
          <x:t xml:space="preserve">Base currency debit</x:t>
        </x:is>
      </x:c>
      <x:c r="F117" s="20" t="inlineStr">
        <x:is>
          <x:t xml:space="preserve"/>
        </x:is>
      </x:c>
      <x:c r="G117" s="21" t="inlineStr">
        <x:is>
          <x:t xml:space="preserve">JOURNAL_IMPORT</x:t>
        </x:is>
      </x:c>
    </x:row>
    <x:row r="118">
      <x:c r="A118" s="20" t="inlineStr">
        <x:is>
          <x:t xml:space="preserve">Journal_Import</x:t>
        </x:is>
      </x:c>
      <x:c r="B118" s="20" t="inlineStr">
        <x:is>
          <x:t xml:space="preserve">Base_Credit</x:t>
        </x:is>
      </x:c>
      <x:c r="C118" s="21" t="inlineStr">
        <x:is>
          <x:t xml:space="preserve">Formula</x:t>
        </x:is>
      </x:c>
      <x:c r="D118" s="21" t="inlineStr">
        <x:is>
          <x:t xml:space="preserve">Yes</x:t>
        </x:is>
      </x:c>
      <x:c r="E118" s="20" t="inlineStr">
        <x:is>
          <x:t xml:space="preserve">Base currency credit</x:t>
        </x:is>
      </x:c>
      <x:c r="F118" s="20" t="inlineStr">
        <x:is>
          <x:t xml:space="preserve"/>
        </x:is>
      </x:c>
      <x:c r="G118" s="21" t="inlineStr">
        <x:is>
          <x:t xml:space="preserve">JOURNAL_IMPORT</x:t>
        </x:is>
      </x:c>
    </x:row>
    <x:row r="119">
      <x:c r="A119" s="20" t="inlineStr">
        <x:is>
          <x:t xml:space="preserve">Journal_Import</x:t>
        </x:is>
      </x:c>
      <x:c r="B119" s="20" t="inlineStr">
        <x:is>
          <x:t xml:space="preserve">Source_System</x:t>
        </x:is>
      </x:c>
      <x:c r="C119" s="21" t="inlineStr">
        <x:is>
          <x:t xml:space="preserve">Text</x:t>
        </x:is>
      </x:c>
      <x:c r="D119" s="21" t="inlineStr">
        <x:is>
          <x:t xml:space="preserve">No</x:t>
        </x:is>
      </x:c>
      <x:c r="E119" s="20" t="inlineStr">
        <x:is>
          <x:t xml:space="preserve">ERP / file / API</x:t>
        </x:is>
      </x:c>
      <x:c r="F119" s="20" t="inlineStr">
        <x:is>
          <x:t xml:space="preserve">ERP</x:t>
        </x:is>
      </x:c>
      <x:c r="G119" s="21" t="inlineStr">
        <x:is>
          <x:t xml:space="preserve">JOURNAL_IMPORT</x:t>
        </x:is>
      </x:c>
    </x:row>
    <x:row r="120">
      <x:c r="A120" s="20" t="inlineStr">
        <x:is>
          <x:t xml:space="preserve">Journal_Import</x:t>
        </x:is>
      </x:c>
      <x:c r="B120" s="20" t="inlineStr">
        <x:is>
          <x:t xml:space="preserve">Source_File_Name</x:t>
        </x:is>
      </x:c>
      <x:c r="C120" s="21" t="inlineStr">
        <x:is>
          <x:t xml:space="preserve">Text</x:t>
        </x:is>
      </x:c>
      <x:c r="D120" s="21" t="inlineStr">
        <x:is>
          <x:t xml:space="preserve">No</x:t>
        </x:is>
      </x:c>
      <x:c r="E120" s="20" t="inlineStr">
        <x:is>
          <x:t xml:space="preserve">Source file</x:t>
        </x:is>
      </x:c>
      <x:c r="F120" s="20" t="inlineStr">
        <x:is>
          <x:t xml:space="preserve">sales_june.xlsx</x:t>
        </x:is>
      </x:c>
      <x:c r="G120" s="21" t="inlineStr">
        <x:is>
          <x:t xml:space="preserve">JOURNAL_IMPORT</x:t>
        </x:is>
      </x:c>
    </x:row>
    <x:row r="121">
      <x:c r="A121" s="20" t="inlineStr">
        <x:is>
          <x:t xml:space="preserve">Journal_Import</x:t>
        </x:is>
      </x:c>
      <x:c r="B121" s="20" t="inlineStr">
        <x:is>
          <x:t xml:space="preserve">Posted_Flag</x:t>
        </x:is>
      </x:c>
      <x:c r="C121" s="21" t="inlineStr">
        <x:is>
          <x:t xml:space="preserve">Dropdown:YesNo</x:t>
        </x:is>
      </x:c>
      <x:c r="D121" s="21" t="inlineStr">
        <x:is>
          <x:t xml:space="preserve">Yes</x:t>
        </x:is>
      </x:c>
      <x:c r="E121" s="20" t="inlineStr">
        <x:is>
          <x:t xml:space="preserve">Posted / approved</x:t>
        </x:is>
      </x:c>
      <x:c r="F121" s="20" t="inlineStr">
        <x:is>
          <x:t xml:space="preserve">Yes</x:t>
        </x:is>
      </x:c>
      <x:c r="G121" s="21" t="inlineStr">
        <x:is>
          <x:t xml:space="preserve">JOURNAL_IMPORT</x:t>
        </x:is>
      </x:c>
    </x:row>
    <x:row r="122">
      <x:c r="A122" s="20" t="inlineStr">
        <x:is>
          <x:t xml:space="preserve">Journal_Import</x:t>
        </x:is>
      </x:c>
      <x:c r="B122" s="20" t="inlineStr">
        <x:is>
          <x:t xml:space="preserve">Data_Source</x:t>
        </x:is>
      </x:c>
      <x:c r="C122" s="21" t="inlineStr">
        <x:is>
          <x:t xml:space="preserve">Dropdown:Data_Source</x:t>
        </x:is>
      </x:c>
      <x:c r="D122" s="21" t="inlineStr">
        <x:is>
          <x:t xml:space="preserve">Yes</x:t>
        </x:is>
      </x:c>
      <x:c r="E122" s="20" t="inlineStr">
        <x:is>
          <x:t xml:space="preserve">Source type</x:t>
        </x:is>
      </x:c>
      <x:c r="F122" s="20" t="inlineStr">
        <x:is>
          <x:t xml:space="preserve">Imported</x:t>
        </x:is>
      </x:c>
      <x:c r="G122" s="21" t="inlineStr">
        <x:is>
          <x:t xml:space="preserve">JOURNAL_IMPORT</x:t>
        </x:is>
      </x:c>
    </x:row>
    <x:row r="123">
      <x:c r="A123" s="20" t="inlineStr">
        <x:is>
          <x:t xml:space="preserve">Journal_Import</x:t>
        </x:is>
      </x:c>
      <x:c r="B123" s="20" t="inlineStr">
        <x:is>
          <x:t xml:space="preserve">Confidence_Score</x:t>
        </x:is>
      </x:c>
      <x:c r="C123" s="21" t="inlineStr">
        <x:is>
          <x:t xml:space="preserve">Number</x:t>
        </x:is>
      </x:c>
      <x:c r="D123" s="21" t="inlineStr">
        <x:is>
          <x:t xml:space="preserve">Yes</x:t>
        </x:is>
      </x:c>
      <x:c r="E123" s="20" t="inlineStr">
        <x:is>
          <x:t xml:space="preserve">Import confidence %</x:t>
        </x:is>
      </x:c>
      <x:c r="F123" s="20" t="inlineStr">
        <x:is>
          <x:t xml:space="preserve">100</x:t>
        </x:is>
      </x:c>
      <x:c r="G123" s="21" t="inlineStr">
        <x:is>
          <x:t xml:space="preserve">JOURNAL_IMPORT</x:t>
        </x:is>
      </x:c>
    </x:row>
    <x:row r="124">
      <x:c r="A124" s="20" t="inlineStr">
        <x:is>
          <x:t xml:space="preserve">Journal_Import</x:t>
        </x:is>
      </x:c>
      <x:c r="B124" s="20" t="inlineStr">
        <x:is>
          <x:t xml:space="preserve">Exception_Flag</x:t>
        </x:is>
      </x:c>
      <x:c r="C124" s="21" t="inlineStr">
        <x:is>
          <x:t xml:space="preserve">Dropdown:YesNo</x:t>
        </x:is>
      </x:c>
      <x:c r="D124" s="21" t="inlineStr">
        <x:is>
          <x:t xml:space="preserve">Yes</x:t>
        </x:is>
      </x:c>
      <x:c r="E124" s="20" t="inlineStr">
        <x:is>
          <x:t xml:space="preserve">Exception</x:t>
        </x:is>
      </x:c>
      <x:c r="F124" s="20" t="inlineStr">
        <x:is>
          <x:t xml:space="preserve">No</x:t>
        </x:is>
      </x:c>
      <x:c r="G124" s="21" t="inlineStr">
        <x:is>
          <x:t xml:space="preserve">JOURNAL_IMPORT</x:t>
        </x:is>
      </x:c>
    </x:row>
    <x:row r="125">
      <x:c r="A125" s="20" t="inlineStr">
        <x:is>
          <x:t xml:space="preserve">TB_Generated</x:t>
        </x:is>
      </x:c>
      <x:c r="B125" s="20" t="inlineStr">
        <x:is>
          <x:t xml:space="preserve">Account_Code</x:t>
        </x:is>
      </x:c>
      <x:c r="C125" s="21" t="inlineStr">
        <x:is>
          <x:t xml:space="preserve">Formula</x:t>
        </x:is>
      </x:c>
      <x:c r="D125" s="21" t="inlineStr">
        <x:is>
          <x:t xml:space="preserve">Yes</x:t>
        </x:is>
      </x:c>
      <x:c r="E125" s="20" t="inlineStr">
        <x:is>
          <x:t xml:space="preserve">Mirrored from CoA</x:t>
        </x:is>
      </x:c>
      <x:c r="F125" s="20" t="inlineStr">
        <x:is>
          <x:t xml:space="preserve"/>
        </x:is>
      </x:c>
      <x:c r="G125" s="21" t="inlineStr">
        <x:is>
          <x:t xml:space="preserve">TB_GENERATED</x:t>
        </x:is>
      </x:c>
    </x:row>
    <x:row r="126">
      <x:c r="A126" s="20" t="inlineStr">
        <x:is>
          <x:t xml:space="preserve">TB_Generated</x:t>
        </x:is>
      </x:c>
      <x:c r="B126" s="20" t="inlineStr">
        <x:is>
          <x:t xml:space="preserve">Account_Name</x:t>
        </x:is>
      </x:c>
      <x:c r="C126" s="21" t="inlineStr">
        <x:is>
          <x:t xml:space="preserve">Formula</x:t>
        </x:is>
      </x:c>
      <x:c r="D126" s="21" t="inlineStr">
        <x:is>
          <x:t xml:space="preserve">Yes</x:t>
        </x:is>
      </x:c>
      <x:c r="E126" s="20" t="inlineStr">
        <x:is>
          <x:t xml:space="preserve">Mirrored from CoA</x:t>
        </x:is>
      </x:c>
      <x:c r="F126" s="20" t="inlineStr">
        <x:is>
          <x:t xml:space="preserve"/>
        </x:is>
      </x:c>
      <x:c r="G126" s="21" t="inlineStr">
        <x:is>
          <x:t xml:space="preserve">TB_GENERATED</x:t>
        </x:is>
      </x:c>
    </x:row>
    <x:row r="127">
      <x:c r="A127" s="20" t="inlineStr">
        <x:is>
          <x:t xml:space="preserve">TB_Generated</x:t>
        </x:is>
      </x:c>
      <x:c r="B127" s="20" t="inlineStr">
        <x:is>
          <x:t xml:space="preserve">FS_Head</x:t>
        </x:is>
      </x:c>
      <x:c r="C127" s="21" t="inlineStr">
        <x:is>
          <x:t xml:space="preserve">Formula</x:t>
        </x:is>
      </x:c>
      <x:c r="D127" s="21" t="inlineStr">
        <x:is>
          <x:t xml:space="preserve">Yes</x:t>
        </x:is>
      </x:c>
      <x:c r="E127" s="20" t="inlineStr">
        <x:is>
          <x:t xml:space="preserve">Mirrored from CoA</x:t>
        </x:is>
      </x:c>
      <x:c r="F127" s="20" t="inlineStr">
        <x:is>
          <x:t xml:space="preserve"/>
        </x:is>
      </x:c>
      <x:c r="G127" s="21" t="inlineStr">
        <x:is>
          <x:t xml:space="preserve">TB_GENERATED</x:t>
        </x:is>
      </x:c>
    </x:row>
    <x:row r="128">
      <x:c r="A128" s="20" t="inlineStr">
        <x:is>
          <x:t xml:space="preserve">TB_Generated</x:t>
        </x:is>
      </x:c>
      <x:c r="B128" s="20" t="inlineStr">
        <x:is>
          <x:t xml:space="preserve">Account_Type</x:t>
        </x:is>
      </x:c>
      <x:c r="C128" s="21" t="inlineStr">
        <x:is>
          <x:t xml:space="preserve">Formula</x:t>
        </x:is>
      </x:c>
      <x:c r="D128" s="21" t="inlineStr">
        <x:is>
          <x:t xml:space="preserve">Yes</x:t>
        </x:is>
      </x:c>
      <x:c r="E128" s="20" t="inlineStr">
        <x:is>
          <x:t xml:space="preserve">Mirrored from CoA</x:t>
        </x:is>
      </x:c>
      <x:c r="F128" s="20" t="inlineStr">
        <x:is>
          <x:t xml:space="preserve"/>
        </x:is>
      </x:c>
      <x:c r="G128" s="21" t="inlineStr">
        <x:is>
          <x:t xml:space="preserve">TB_GENERATED</x:t>
        </x:is>
      </x:c>
    </x:row>
    <x:row r="129">
      <x:c r="A129" s="20" t="inlineStr">
        <x:is>
          <x:t xml:space="preserve">TB_Generated</x:t>
        </x:is>
      </x:c>
      <x:c r="B129" s="20" t="inlineStr">
        <x:is>
          <x:t xml:space="preserve">Normal_Balance</x:t>
        </x:is>
      </x:c>
      <x:c r="C129" s="21" t="inlineStr">
        <x:is>
          <x:t xml:space="preserve">Formula</x:t>
        </x:is>
      </x:c>
      <x:c r="D129" s="21" t="inlineStr">
        <x:is>
          <x:t xml:space="preserve">Yes</x:t>
        </x:is>
      </x:c>
      <x:c r="E129" s="20" t="inlineStr">
        <x:is>
          <x:t xml:space="preserve">Mirrored from CoA</x:t>
        </x:is>
      </x:c>
      <x:c r="F129" s="20" t="inlineStr">
        <x:is>
          <x:t xml:space="preserve"/>
        </x:is>
      </x:c>
      <x:c r="G129" s="21" t="inlineStr">
        <x:is>
          <x:t xml:space="preserve">TB_GENERATED</x:t>
        </x:is>
      </x:c>
    </x:row>
    <x:row r="130">
      <x:c r="A130" s="20" t="inlineStr">
        <x:is>
          <x:t xml:space="preserve">TB_Generated</x:t>
        </x:is>
      </x:c>
      <x:c r="B130" s="20" t="inlineStr">
        <x:is>
          <x:t xml:space="preserve">Opening_Balance</x:t>
        </x:is>
      </x:c>
      <x:c r="C130" s="21" t="inlineStr">
        <x:is>
          <x:t xml:space="preserve">Formula</x:t>
        </x:is>
      </x:c>
      <x:c r="D130" s="21" t="inlineStr">
        <x:is>
          <x:t xml:space="preserve">Yes</x:t>
        </x:is>
      </x:c>
      <x:c r="E130" s="20" t="inlineStr">
        <x:is>
          <x:t xml:space="preserve">Opening balance from CoA</x:t>
        </x:is>
      </x:c>
      <x:c r="F130" s="20" t="inlineStr">
        <x:is>
          <x:t xml:space="preserve"/>
        </x:is>
      </x:c>
      <x:c r="G130" s="21" t="inlineStr">
        <x:is>
          <x:t xml:space="preserve">TB_GENERATED</x:t>
        </x:is>
      </x:c>
    </x:row>
    <x:row r="131">
      <x:c r="A131" s="20" t="inlineStr">
        <x:is>
          <x:t xml:space="preserve">TB_Generated</x:t>
        </x:is>
      </x:c>
      <x:c r="B131" s="20" t="inlineStr">
        <x:is>
          <x:t xml:space="preserve">Journal_Debit</x:t>
        </x:is>
      </x:c>
      <x:c r="C131" s="21" t="inlineStr">
        <x:is>
          <x:t xml:space="preserve">Formula</x:t>
        </x:is>
      </x:c>
      <x:c r="D131" s="21" t="inlineStr">
        <x:is>
          <x:t xml:space="preserve">Yes</x:t>
        </x:is>
      </x:c>
      <x:c r="E131" s="20" t="inlineStr">
        <x:is>
          <x:t xml:space="preserve">Sum of base debits</x:t>
        </x:is>
      </x:c>
      <x:c r="F131" s="20" t="inlineStr">
        <x:is>
          <x:t xml:space="preserve"/>
        </x:is>
      </x:c>
      <x:c r="G131" s="21" t="inlineStr">
        <x:is>
          <x:t xml:space="preserve">TB_GENERATED</x:t>
        </x:is>
      </x:c>
    </x:row>
    <x:row r="132">
      <x:c r="A132" s="20" t="inlineStr">
        <x:is>
          <x:t xml:space="preserve">TB_Generated</x:t>
        </x:is>
      </x:c>
      <x:c r="B132" s="20" t="inlineStr">
        <x:is>
          <x:t xml:space="preserve">Journal_Credit</x:t>
        </x:is>
      </x:c>
      <x:c r="C132" s="21" t="inlineStr">
        <x:is>
          <x:t xml:space="preserve">Formula</x:t>
        </x:is>
      </x:c>
      <x:c r="D132" s="21" t="inlineStr">
        <x:is>
          <x:t xml:space="preserve">Yes</x:t>
        </x:is>
      </x:c>
      <x:c r="E132" s="20" t="inlineStr">
        <x:is>
          <x:t xml:space="preserve">Sum of base credits</x:t>
        </x:is>
      </x:c>
      <x:c r="F132" s="20" t="inlineStr">
        <x:is>
          <x:t xml:space="preserve"/>
        </x:is>
      </x:c>
      <x:c r="G132" s="21" t="inlineStr">
        <x:is>
          <x:t xml:space="preserve">TB_GENERATED</x:t>
        </x:is>
      </x:c>
    </x:row>
    <x:row r="133">
      <x:c r="A133" s="20" t="inlineStr">
        <x:is>
          <x:t xml:space="preserve">TB_Generated</x:t>
        </x:is>
      </x:c>
      <x:c r="B133" s="20" t="inlineStr">
        <x:is>
          <x:t xml:space="preserve">Closing_Balance</x:t>
        </x:is>
      </x:c>
      <x:c r="C133" s="21" t="inlineStr">
        <x:is>
          <x:t xml:space="preserve">Formula</x:t>
        </x:is>
      </x:c>
      <x:c r="D133" s="21" t="inlineStr">
        <x:is>
          <x:t xml:space="preserve">Yes</x:t>
        </x:is>
      </x:c>
      <x:c r="E133" s="20" t="inlineStr">
        <x:is>
          <x:t xml:space="preserve">Natural closing balance</x:t>
        </x:is>
      </x:c>
      <x:c r="F133" s="20" t="inlineStr">
        <x:is>
          <x:t xml:space="preserve"/>
        </x:is>
      </x:c>
      <x:c r="G133" s="21" t="inlineStr">
        <x:is>
          <x:t xml:space="preserve">TB_GENERATED</x:t>
        </x:is>
      </x:c>
    </x:row>
    <x:row r="134">
      <x:c r="A134" s="20" t="inlineStr">
        <x:is>
          <x:t xml:space="preserve">TB_Generated</x:t>
        </x:is>
      </x:c>
      <x:c r="B134" s="20" t="inlineStr">
        <x:is>
          <x:t xml:space="preserve">Closing_Debit</x:t>
        </x:is>
      </x:c>
      <x:c r="C134" s="21" t="inlineStr">
        <x:is>
          <x:t xml:space="preserve">Formula</x:t>
        </x:is>
      </x:c>
      <x:c r="D134" s="21" t="inlineStr">
        <x:is>
          <x:t xml:space="preserve">Yes</x:t>
        </x:is>
      </x:c>
      <x:c r="E134" s="20" t="inlineStr">
        <x:is>
          <x:t xml:space="preserve">Debit presentation column</x:t>
        </x:is>
      </x:c>
      <x:c r="F134" s="20" t="inlineStr">
        <x:is>
          <x:t xml:space="preserve"/>
        </x:is>
      </x:c>
      <x:c r="G134" s="21" t="inlineStr">
        <x:is>
          <x:t xml:space="preserve">TB_GENERATED</x:t>
        </x:is>
      </x:c>
    </x:row>
    <x:row r="135">
      <x:c r="A135" s="20" t="inlineStr">
        <x:is>
          <x:t xml:space="preserve">TB_Generated</x:t>
        </x:is>
      </x:c>
      <x:c r="B135" s="20" t="inlineStr">
        <x:is>
          <x:t xml:space="preserve">Closing_Credit</x:t>
        </x:is>
      </x:c>
      <x:c r="C135" s="21" t="inlineStr">
        <x:is>
          <x:t xml:space="preserve">Formula</x:t>
        </x:is>
      </x:c>
      <x:c r="D135" s="21" t="inlineStr">
        <x:is>
          <x:t xml:space="preserve">Yes</x:t>
        </x:is>
      </x:c>
      <x:c r="E135" s="20" t="inlineStr">
        <x:is>
          <x:t xml:space="preserve">Credit presentation column</x:t>
        </x:is>
      </x:c>
      <x:c r="F135" s="20" t="inlineStr">
        <x:is>
          <x:t xml:space="preserve"/>
        </x:is>
      </x:c>
      <x:c r="G135" s="21" t="inlineStr">
        <x:is>
          <x:t xml:space="preserve">TB_GENERATED</x:t>
        </x:is>
      </x:c>
    </x:row>
    <x:row r="136">
      <x:c r="A136" s="20" t="inlineStr">
        <x:is>
          <x:t xml:space="preserve">TB_Generated</x:t>
        </x:is>
      </x:c>
      <x:c r="B136" s="20" t="inlineStr">
        <x:is>
          <x:t xml:space="preserve">Prior_Year_Balance</x:t>
        </x:is>
      </x:c>
      <x:c r="C136" s="21" t="inlineStr">
        <x:is>
          <x:t xml:space="preserve">Formula</x:t>
        </x:is>
      </x:c>
      <x:c r="D136" s="21" t="inlineStr">
        <x:is>
          <x:t xml:space="preserve">No</x:t>
        </x:is>
      </x:c>
      <x:c r="E136" s="20" t="inlineStr">
        <x:is>
          <x:t xml:space="preserve">Prior year from CoA</x:t>
        </x:is>
      </x:c>
      <x:c r="F136" s="20" t="inlineStr">
        <x:is>
          <x:t xml:space="preserve"/>
        </x:is>
      </x:c>
      <x:c r="G136" s="21" t="inlineStr">
        <x:is>
          <x:t xml:space="preserve">TB_GENERATED</x:t>
        </x:is>
      </x:c>
    </x:row>
    <x:row r="137">
      <x:c r="A137" s="20" t="inlineStr">
        <x:is>
          <x:t xml:space="preserve">TB_Generated</x:t>
        </x:is>
      </x:c>
      <x:c r="B137" s="20" t="inlineStr">
        <x:is>
          <x:t xml:space="preserve">Variance</x:t>
        </x:is>
      </x:c>
      <x:c r="C137" s="21" t="inlineStr">
        <x:is>
          <x:t xml:space="preserve">Formula</x:t>
        </x:is>
      </x:c>
      <x:c r="D137" s="21" t="inlineStr">
        <x:is>
          <x:t xml:space="preserve">Yes</x:t>
        </x:is>
      </x:c>
      <x:c r="E137" s="20" t="inlineStr">
        <x:is>
          <x:t xml:space="preserve">Closing less prior</x:t>
        </x:is>
      </x:c>
      <x:c r="F137" s="20" t="inlineStr">
        <x:is>
          <x:t xml:space="preserve"/>
        </x:is>
      </x:c>
      <x:c r="G137" s="21" t="inlineStr">
        <x:is>
          <x:t xml:space="preserve">TB_GENERATED</x:t>
        </x:is>
      </x:c>
    </x:row>
    <x:row r="138">
      <x:c r="A138" s="20" t="inlineStr">
        <x:is>
          <x:t xml:space="preserve">TB_Generated</x:t>
        </x:is>
      </x:c>
      <x:c r="B138" s="20" t="inlineStr">
        <x:is>
          <x:t xml:space="preserve">Balance_Check</x:t>
        </x:is>
      </x:c>
      <x:c r="C138" s="21" t="inlineStr">
        <x:is>
          <x:t xml:space="preserve">Formula</x:t>
        </x:is>
      </x:c>
      <x:c r="D138" s="21" t="inlineStr">
        <x:is>
          <x:t xml:space="preserve">Yes</x:t>
        </x:is>
      </x:c>
      <x:c r="E138" s="20" t="inlineStr">
        <x:is>
          <x:t xml:space="preserve">Compare to CoA closing</x:t>
        </x:is>
      </x:c>
      <x:c r="F138" s="20" t="inlineStr">
        <x:is>
          <x:t xml:space="preserve"/>
        </x:is>
      </x:c>
      <x:c r="G138" s="21" t="inlineStr">
        <x:is>
          <x:t xml:space="preserve">TB_GENERATED</x:t>
        </x:is>
      </x:c>
    </x:row>
    <x:row r="139">
      <x:c r="A139" s="20" t="inlineStr">
        <x:is>
          <x:t xml:space="preserve">GL_Generated</x:t>
        </x:is>
      </x:c>
      <x:c r="B139" s="20" t="inlineStr">
        <x:is>
          <x:t xml:space="preserve">Journal_ID</x:t>
        </x:is>
      </x:c>
      <x:c r="C139" s="21" t="inlineStr">
        <x:is>
          <x:t xml:space="preserve">Formula</x:t>
        </x:is>
      </x:c>
      <x:c r="D139" s="21" t="inlineStr">
        <x:is>
          <x:t xml:space="preserve">Yes</x:t>
        </x:is>
      </x:c>
      <x:c r="E139" s="20" t="inlineStr">
        <x:is>
          <x:t xml:space="preserve">Mirror of journal line</x:t>
        </x:is>
      </x:c>
      <x:c r="F139" s="20" t="inlineStr">
        <x:is>
          <x:t xml:space="preserve"/>
        </x:is>
      </x:c>
      <x:c r="G139" s="21" t="inlineStr">
        <x:is>
          <x:t xml:space="preserve">GL_GENERATED</x:t>
        </x:is>
      </x:c>
    </x:row>
    <x:row r="140">
      <x:c r="A140" s="20" t="inlineStr">
        <x:is>
          <x:t xml:space="preserve">GL_Generated</x:t>
        </x:is>
      </x:c>
      <x:c r="B140" s="20" t="inlineStr">
        <x:is>
          <x:t xml:space="preserve">Engagement_ID</x:t>
        </x:is>
      </x:c>
      <x:c r="C140" s="21" t="inlineStr">
        <x:is>
          <x:t xml:space="preserve">Formula</x:t>
        </x:is>
      </x:c>
      <x:c r="D140" s="21" t="inlineStr">
        <x:is>
          <x:t xml:space="preserve">Yes</x:t>
        </x:is>
      </x:c>
      <x:c r="E140" s="20" t="inlineStr">
        <x:is>
          <x:t xml:space="preserve">Engagement</x:t>
        </x:is>
      </x:c>
      <x:c r="F140" s="20" t="inlineStr">
        <x:is>
          <x:t xml:space="preserve"/>
        </x:is>
      </x:c>
      <x:c r="G140" s="21" t="inlineStr">
        <x:is>
          <x:t xml:space="preserve">GL_GENERATED</x:t>
        </x:is>
      </x:c>
    </x:row>
    <x:row r="141">
      <x:c r="A141" s="20" t="inlineStr">
        <x:is>
          <x:t xml:space="preserve">GL_Generated</x:t>
        </x:is>
      </x:c>
      <x:c r="B141" s="20" t="inlineStr">
        <x:is>
          <x:t xml:space="preserve">Account_Code</x:t>
        </x:is>
      </x:c>
      <x:c r="C141" s="21" t="inlineStr">
        <x:is>
          <x:t xml:space="preserve">Formula</x:t>
        </x:is>
      </x:c>
      <x:c r="D141" s="21" t="inlineStr">
        <x:is>
          <x:t xml:space="preserve">Yes</x:t>
        </x:is>
      </x:c>
      <x:c r="E141" s="20" t="inlineStr">
        <x:is>
          <x:t xml:space="preserve">Account code</x:t>
        </x:is>
      </x:c>
      <x:c r="F141" s="20" t="inlineStr">
        <x:is>
          <x:t xml:space="preserve"/>
        </x:is>
      </x:c>
      <x:c r="G141" s="21" t="inlineStr">
        <x:is>
          <x:t xml:space="preserve">GL_GENERATED</x:t>
        </x:is>
      </x:c>
    </x:row>
    <x:row r="142">
      <x:c r="A142" s="20" t="inlineStr">
        <x:is>
          <x:t xml:space="preserve">GL_Generated</x:t>
        </x:is>
      </x:c>
      <x:c r="B142" s="20" t="inlineStr">
        <x:is>
          <x:t xml:space="preserve">Account_Name</x:t>
        </x:is>
      </x:c>
      <x:c r="C142" s="21" t="inlineStr">
        <x:is>
          <x:t xml:space="preserve">Formula</x:t>
        </x:is>
      </x:c>
      <x:c r="D142" s="21" t="inlineStr">
        <x:is>
          <x:t xml:space="preserve">Yes</x:t>
        </x:is>
      </x:c>
      <x:c r="E142" s="20" t="inlineStr">
        <x:is>
          <x:t xml:space="preserve">Account name</x:t>
        </x:is>
      </x:c>
      <x:c r="F142" s="20" t="inlineStr">
        <x:is>
          <x:t xml:space="preserve"/>
        </x:is>
      </x:c>
      <x:c r="G142" s="21" t="inlineStr">
        <x:is>
          <x:t xml:space="preserve">GL_GENERATED</x:t>
        </x:is>
      </x:c>
    </x:row>
    <x:row r="143">
      <x:c r="A143" s="20" t="inlineStr">
        <x:is>
          <x:t xml:space="preserve">GL_Generated</x:t>
        </x:is>
      </x:c>
      <x:c r="B143" s="20" t="inlineStr">
        <x:is>
          <x:t xml:space="preserve">Entry_Date</x:t>
        </x:is>
      </x:c>
      <x:c r="C143" s="21" t="inlineStr">
        <x:is>
          <x:t xml:space="preserve">Formula</x:t>
        </x:is>
      </x:c>
      <x:c r="D143" s="21" t="inlineStr">
        <x:is>
          <x:t xml:space="preserve">Yes</x:t>
        </x:is>
      </x:c>
      <x:c r="E143" s="20" t="inlineStr">
        <x:is>
          <x:t xml:space="preserve">Date</x:t>
        </x:is>
      </x:c>
      <x:c r="F143" s="20" t="inlineStr">
        <x:is>
          <x:t xml:space="preserve"/>
        </x:is>
      </x:c>
      <x:c r="G143" s="21" t="inlineStr">
        <x:is>
          <x:t xml:space="preserve">GL_GENERATED</x:t>
        </x:is>
      </x:c>
    </x:row>
    <x:row r="144">
      <x:c r="A144" s="20" t="inlineStr">
        <x:is>
          <x:t xml:space="preserve">GL_Generated</x:t>
        </x:is>
      </x:c>
      <x:c r="B144" s="20" t="inlineStr">
        <x:is>
          <x:t xml:space="preserve">Voucher_Type</x:t>
        </x:is>
      </x:c>
      <x:c r="C144" s="21" t="inlineStr">
        <x:is>
          <x:t xml:space="preserve">Formula</x:t>
        </x:is>
      </x:c>
      <x:c r="D144" s="21" t="inlineStr">
        <x:is>
          <x:t xml:space="preserve">Yes</x:t>
        </x:is>
      </x:c>
      <x:c r="E144" s="20" t="inlineStr">
        <x:is>
          <x:t xml:space="preserve">Voucher type</x:t>
        </x:is>
      </x:c>
      <x:c r="F144" s="20" t="inlineStr">
        <x:is>
          <x:t xml:space="preserve"/>
        </x:is>
      </x:c>
      <x:c r="G144" s="21" t="inlineStr">
        <x:is>
          <x:t xml:space="preserve">GL_GENERATED</x:t>
        </x:is>
      </x:c>
    </x:row>
    <x:row r="145">
      <x:c r="A145" s="20" t="inlineStr">
        <x:is>
          <x:t xml:space="preserve">GL_Generated</x:t>
        </x:is>
      </x:c>
      <x:c r="B145" s="20" t="inlineStr">
        <x:is>
          <x:t xml:space="preserve">Document_No</x:t>
        </x:is>
      </x:c>
      <x:c r="C145" s="21" t="inlineStr">
        <x:is>
          <x:t xml:space="preserve">Formula</x:t>
        </x:is>
      </x:c>
      <x:c r="D145" s="21" t="inlineStr">
        <x:is>
          <x:t xml:space="preserve">No</x:t>
        </x:is>
      </x:c>
      <x:c r="E145" s="20" t="inlineStr">
        <x:is>
          <x:t xml:space="preserve">Document reference</x:t>
        </x:is>
      </x:c>
      <x:c r="F145" s="20" t="inlineStr">
        <x:is>
          <x:t xml:space="preserve"/>
        </x:is>
      </x:c>
      <x:c r="G145" s="21" t="inlineStr">
        <x:is>
          <x:t xml:space="preserve">GL_GENERATED</x:t>
        </x:is>
      </x:c>
    </x:row>
    <x:row r="146">
      <x:c r="A146" s="20" t="inlineStr">
        <x:is>
          <x:t xml:space="preserve">GL_Generated</x:t>
        </x:is>
      </x:c>
      <x:c r="B146" s="20" t="inlineStr">
        <x:is>
          <x:t xml:space="preserve">Narration</x:t>
        </x:is>
      </x:c>
      <x:c r="C146" s="21" t="inlineStr">
        <x:is>
          <x:t xml:space="preserve">Formula</x:t>
        </x:is>
      </x:c>
      <x:c r="D146" s="21" t="inlineStr">
        <x:is>
          <x:t xml:space="preserve">Yes</x:t>
        </x:is>
      </x:c>
      <x:c r="E146" s="20" t="inlineStr">
        <x:is>
          <x:t xml:space="preserve">Narration</x:t>
        </x:is>
      </x:c>
      <x:c r="F146" s="20" t="inlineStr">
        <x:is>
          <x:t xml:space="preserve"/>
        </x:is>
      </x:c>
      <x:c r="G146" s="21" t="inlineStr">
        <x:is>
          <x:t xml:space="preserve">GL_GENERATED</x:t>
        </x:is>
      </x:c>
    </x:row>
    <x:row r="147">
      <x:c r="A147" s="20" t="inlineStr">
        <x:is>
          <x:t xml:space="preserve">GL_Generated</x:t>
        </x:is>
      </x:c>
      <x:c r="B147" s="20" t="inlineStr">
        <x:is>
          <x:t xml:space="preserve">Debit_Base</x:t>
        </x:is>
      </x:c>
      <x:c r="C147" s="21" t="inlineStr">
        <x:is>
          <x:t xml:space="preserve">Formula</x:t>
        </x:is>
      </x:c>
      <x:c r="D147" s="21" t="inlineStr">
        <x:is>
          <x:t xml:space="preserve">Yes</x:t>
        </x:is>
      </x:c>
      <x:c r="E147" s="20" t="inlineStr">
        <x:is>
          <x:t xml:space="preserve">Base debit</x:t>
        </x:is>
      </x:c>
      <x:c r="F147" s="20" t="inlineStr">
        <x:is>
          <x:t xml:space="preserve"/>
        </x:is>
      </x:c>
      <x:c r="G147" s="21" t="inlineStr">
        <x:is>
          <x:t xml:space="preserve">GL_GENERATED</x:t>
        </x:is>
      </x:c>
    </x:row>
    <x:row r="148">
      <x:c r="A148" s="20" t="inlineStr">
        <x:is>
          <x:t xml:space="preserve">GL_Generated</x:t>
        </x:is>
      </x:c>
      <x:c r="B148" s="20" t="inlineStr">
        <x:is>
          <x:t xml:space="preserve">Credit_Base</x:t>
        </x:is>
      </x:c>
      <x:c r="C148" s="21" t="inlineStr">
        <x:is>
          <x:t xml:space="preserve">Formula</x:t>
        </x:is>
      </x:c>
      <x:c r="D148" s="21" t="inlineStr">
        <x:is>
          <x:t xml:space="preserve">Yes</x:t>
        </x:is>
      </x:c>
      <x:c r="E148" s="20" t="inlineStr">
        <x:is>
          <x:t xml:space="preserve">Base credit</x:t>
        </x:is>
      </x:c>
      <x:c r="F148" s="20" t="inlineStr">
        <x:is>
          <x:t xml:space="preserve"/>
        </x:is>
      </x:c>
      <x:c r="G148" s="21" t="inlineStr">
        <x:is>
          <x:t xml:space="preserve">GL_GENERATED</x:t>
        </x:is>
      </x:c>
    </x:row>
    <x:row r="149">
      <x:c r="A149" s="20" t="inlineStr">
        <x:is>
          <x:t xml:space="preserve">GL_Generated</x:t>
        </x:is>
      </x:c>
      <x:c r="B149" s="20" t="inlineStr">
        <x:is>
          <x:t xml:space="preserve">Running_Balance</x:t>
        </x:is>
      </x:c>
      <x:c r="C149" s="21" t="inlineStr">
        <x:is>
          <x:t xml:space="preserve">Formula</x:t>
        </x:is>
      </x:c>
      <x:c r="D149" s="21" t="inlineStr">
        <x:is>
          <x:t xml:space="preserve">Yes</x:t>
        </x:is>
      </x:c>
      <x:c r="E149" s="20" t="inlineStr">
        <x:is>
          <x:t xml:space="preserve">Running natural balance (sorted by account/date)</x:t>
        </x:is>
      </x:c>
      <x:c r="F149" s="20" t="inlineStr">
        <x:is>
          <x:t xml:space="preserve"/>
        </x:is>
      </x:c>
      <x:c r="G149" s="21" t="inlineStr">
        <x:is>
          <x:t xml:space="preserve">GL_GENERATED</x:t>
        </x:is>
      </x:c>
    </x:row>
    <x:row r="150">
      <x:c r="A150" s="20" t="inlineStr">
        <x:is>
          <x:t xml:space="preserve">GL_Generated</x:t>
        </x:is>
      </x:c>
      <x:c r="B150" s="20" t="inlineStr">
        <x:is>
          <x:t xml:space="preserve">Balance_Side</x:t>
        </x:is>
      </x:c>
      <x:c r="C150" s="21" t="inlineStr">
        <x:is>
          <x:t xml:space="preserve">Formula</x:t>
        </x:is>
      </x:c>
      <x:c r="D150" s="21" t="inlineStr">
        <x:is>
          <x:t xml:space="preserve">Yes</x:t>
        </x:is>
      </x:c>
      <x:c r="E150" s="20" t="inlineStr">
        <x:is>
          <x:t xml:space="preserve">Debit / Credit</x:t>
        </x:is>
      </x:c>
      <x:c r="F150" s="20" t="inlineStr">
        <x:is>
          <x:t xml:space="preserve"/>
        </x:is>
      </x:c>
      <x:c r="G150" s="21" t="inlineStr">
        <x:is>
          <x:t xml:space="preserve">GL_GENERATED</x:t>
        </x:is>
      </x:c>
    </x:row>
    <x:row r="151">
      <x:c r="A151" s="20" t="inlineStr">
        <x:is>
          <x:t xml:space="preserve">GL_Generated</x:t>
        </x:is>
      </x:c>
      <x:c r="B151" s="20" t="inlineStr">
        <x:is>
          <x:t xml:space="preserve">Source_File_Name</x:t>
        </x:is>
      </x:c>
      <x:c r="C151" s="21" t="inlineStr">
        <x:is>
          <x:t xml:space="preserve">Formula</x:t>
        </x:is>
      </x:c>
      <x:c r="D151" s="21" t="inlineStr">
        <x:is>
          <x:t xml:space="preserve">No</x:t>
        </x:is>
      </x:c>
      <x:c r="E151" s="20" t="inlineStr">
        <x:is>
          <x:t xml:space="preserve">Source file</x:t>
        </x:is>
      </x:c>
      <x:c r="F151" s="20" t="inlineStr">
        <x:is>
          <x:t xml:space="preserve"/>
        </x:is>
      </x:c>
      <x:c r="G151" s="21" t="inlineStr">
        <x:is>
          <x:t xml:space="preserve">GL_GENERATED</x:t>
        </x:is>
      </x:c>
    </x:row>
    <x:row r="152">
      <x:c r="A152" s="20" t="inlineStr">
        <x:is>
          <x:t xml:space="preserve">GL_Generated</x:t>
        </x:is>
      </x:c>
      <x:c r="B152" s="20" t="inlineStr">
        <x:is>
          <x:t xml:space="preserve">Posted_Flag</x:t>
        </x:is>
      </x:c>
      <x:c r="C152" s="21" t="inlineStr">
        <x:is>
          <x:t xml:space="preserve">Formula</x:t>
        </x:is>
      </x:c>
      <x:c r="D152" s="21" t="inlineStr">
        <x:is>
          <x:t xml:space="preserve">Yes</x:t>
        </x:is>
      </x:c>
      <x:c r="E152" s="20" t="inlineStr">
        <x:is>
          <x:t xml:space="preserve">Posted</x:t>
        </x:is>
      </x:c>
      <x:c r="F152" s="20" t="inlineStr">
        <x:is>
          <x:t xml:space="preserve"/>
        </x:is>
      </x:c>
      <x:c r="G152" s="21" t="inlineStr">
        <x:is>
          <x:t xml:space="preserve">GL_GENERATED</x:t>
        </x:is>
      </x:c>
    </x:row>
    <x:row r="153">
      <x:c r="A153" s="20" t="inlineStr">
        <x:is>
          <x:t xml:space="preserve">GL_Generated</x:t>
        </x:is>
      </x:c>
      <x:c r="B153" s="20" t="inlineStr">
        <x:is>
          <x:t xml:space="preserve">Exception_Flag</x:t>
        </x:is>
      </x:c>
      <x:c r="C153" s="21" t="inlineStr">
        <x:is>
          <x:t xml:space="preserve">Formula</x:t>
        </x:is>
      </x:c>
      <x:c r="D153" s="21" t="inlineStr">
        <x:is>
          <x:t xml:space="preserve">Yes</x:t>
        </x:is>
      </x:c>
      <x:c r="E153" s="20" t="inlineStr">
        <x:is>
          <x:t xml:space="preserve">Exception</x:t>
        </x:is>
      </x:c>
      <x:c r="F153" s="20" t="inlineStr">
        <x:is>
          <x:t xml:space="preserve"/>
        </x:is>
      </x:c>
      <x:c r="G153" s="21" t="inlineStr">
        <x:is>
          <x:t xml:space="preserve">GL_GENERATED</x:t>
        </x:is>
      </x:c>
    </x:row>
    <x:row r="154">
      <x:c r="A154" s="20" t="inlineStr">
        <x:is>
          <x:t xml:space="preserve">Audit_Engine_Master</x:t>
        </x:is>
      </x:c>
      <x:c r="B154" s="20" t="inlineStr">
        <x:is>
          <x:t xml:space="preserve">Record_ID</x:t>
        </x:is>
      </x:c>
      <x:c r="C154" s="21" t="inlineStr">
        <x:is>
          <x:t xml:space="preserve">Text</x:t>
        </x:is>
      </x:c>
      <x:c r="D154" s="21" t="inlineStr">
        <x:is>
          <x:t xml:space="preserve">Yes</x:t>
        </x:is>
      </x:c>
      <x:c r="E154" s="20" t="inlineStr">
        <x:is>
          <x:t xml:space="preserve">Unique audit engine row id</x:t>
        </x:is>
      </x:c>
      <x:c r="F154" s="20" t="inlineStr">
        <x:is>
          <x:t xml:space="preserve">AUD-0001</x:t>
        </x:is>
      </x:c>
      <x:c r="G154" s="21" t="inlineStr">
        <x:is>
          <x:t xml:space="preserve">AUDIT_ENGINE_MASTER</x:t>
        </x:is>
      </x:c>
    </x:row>
    <x:row r="155">
      <x:c r="A155" s="20" t="inlineStr">
        <x:is>
          <x:t xml:space="preserve">Audit_Engine_Master</x:t>
        </x:is>
      </x:c>
      <x:c r="B155" s="20" t="inlineStr">
        <x:is>
          <x:t xml:space="preserve">Engagement_ID</x:t>
        </x:is>
      </x:c>
      <x:c r="C155" s="21" t="inlineStr">
        <x:is>
          <x:t xml:space="preserve">Text</x:t>
        </x:is>
      </x:c>
      <x:c r="D155" s="21" t="inlineStr">
        <x:is>
          <x:t xml:space="preserve">Yes</x:t>
        </x:is>
      </x:c>
      <x:c r="E155" s="20" t="inlineStr">
        <x:is>
          <x:t xml:space="preserve">Engagement reference</x:t>
        </x:is>
      </x:c>
      <x:c r="F155" s="20" t="inlineStr">
        <x:is>
          <x:t xml:space="preserve">ENG-001</x:t>
        </x:is>
      </x:c>
      <x:c r="G155" s="21" t="inlineStr">
        <x:is>
          <x:t xml:space="preserve">AUDIT_ENGINE_MASTER</x:t>
        </x:is>
      </x:c>
    </x:row>
    <x:row r="156">
      <x:c r="A156" s="20" t="inlineStr">
        <x:is>
          <x:t xml:space="preserve">Audit_Engine_Master</x:t>
        </x:is>
      </x:c>
      <x:c r="B156" s="20" t="inlineStr">
        <x:is>
          <x:t xml:space="preserve">Client_Name</x:t>
        </x:is>
      </x:c>
      <x:c r="C156" s="21" t="inlineStr">
        <x:is>
          <x:t xml:space="preserve">Formula</x:t>
        </x:is>
      </x:c>
      <x:c r="D156" s="21" t="inlineStr">
        <x:is>
          <x:t xml:space="preserve">Yes</x:t>
        </x:is>
      </x:c>
      <x:c r="E156" s="20" t="inlineStr">
        <x:is>
          <x:t xml:space="preserve">Client name from Entity_Profile</x:t>
        </x:is>
      </x:c>
      <x:c r="F156" s="20" t="inlineStr">
        <x:is>
          <x:t xml:space="preserve"/>
        </x:is>
      </x:c>
      <x:c r="G156" s="21" t="inlineStr">
        <x:is>
          <x:t xml:space="preserve">AUDIT_ENGINE_MASTER</x:t>
        </x:is>
      </x:c>
    </x:row>
    <x:row r="157">
      <x:c r="A157" s="20" t="inlineStr">
        <x:is>
          <x:t xml:space="preserve">Audit_Engine_Master</x:t>
        </x:is>
      </x:c>
      <x:c r="B157" s="20" t="inlineStr">
        <x:is>
          <x:t xml:space="preserve">Entity_Type</x:t>
        </x:is>
      </x:c>
      <x:c r="C157" s="21" t="inlineStr">
        <x:is>
          <x:t xml:space="preserve">Dropdown:Entity_Type</x:t>
        </x:is>
      </x:c>
      <x:c r="D157" s="21" t="inlineStr">
        <x:is>
          <x:t xml:space="preserve">Yes</x:t>
        </x:is>
      </x:c>
      <x:c r="E157" s="20" t="inlineStr">
        <x:is>
          <x:t xml:space="preserve">Entity classification</x:t>
        </x:is>
      </x:c>
      <x:c r="F157" s="20" t="inlineStr">
        <x:is>
          <x:t xml:space="preserve">Private Limited</x:t>
        </x:is>
      </x:c>
      <x:c r="G157" s="21" t="inlineStr">
        <x:is>
          <x:t xml:space="preserve">AUDIT_ENGINE_MASTER</x:t>
        </x:is>
      </x:c>
    </x:row>
    <x:row r="158">
      <x:c r="A158" s="20" t="inlineStr">
        <x:is>
          <x:t xml:space="preserve">Audit_Engine_Master</x:t>
        </x:is>
      </x:c>
      <x:c r="B158" s="20" t="inlineStr">
        <x:is>
          <x:t xml:space="preserve">Industry_Type</x:t>
        </x:is>
      </x:c>
      <x:c r="C158" s="21" t="inlineStr">
        <x:is>
          <x:t xml:space="preserve">Dropdown:Industry_Type</x:t>
        </x:is>
      </x:c>
      <x:c r="D158" s="21" t="inlineStr">
        <x:is>
          <x:t xml:space="preserve">Yes</x:t>
        </x:is>
      </x:c>
      <x:c r="E158" s="20" t="inlineStr">
        <x:is>
          <x:t xml:space="preserve">Industry</x:t>
        </x:is>
      </x:c>
      <x:c r="F158" s="20" t="inlineStr">
        <x:is>
          <x:t xml:space="preserve">Manufacturing</x:t>
        </x:is>
      </x:c>
      <x:c r="G158" s="21" t="inlineStr">
        <x:is>
          <x:t xml:space="preserve">AUDIT_ENGINE_MASTER</x:t>
        </x:is>
      </x:c>
    </x:row>
    <x:row r="159">
      <x:c r="A159" s="20" t="inlineStr">
        <x:is>
          <x:t xml:space="preserve">Audit_Engine_Master</x:t>
        </x:is>
      </x:c>
      <x:c r="B159" s="20" t="inlineStr">
        <x:is>
          <x:t xml:space="preserve">Financial_Year</x:t>
        </x:is>
      </x:c>
      <x:c r="C159" s="21" t="inlineStr">
        <x:is>
          <x:t xml:space="preserve">Text</x:t>
        </x:is>
      </x:c>
      <x:c r="D159" s="21" t="inlineStr">
        <x:is>
          <x:t xml:space="preserve">Yes</x:t>
        </x:is>
      </x:c>
      <x:c r="E159" s="20" t="inlineStr">
        <x:is>
          <x:t xml:space="preserve">Audit period label</x:t>
        </x:is>
      </x:c>
      <x:c r="F159" s="20" t="inlineStr">
        <x:is>
          <x:t xml:space="preserve">01-Jul-2024 to 30-Jun-2025</x:t>
        </x:is>
      </x:c>
      <x:c r="G159" s="21" t="inlineStr">
        <x:is>
          <x:t xml:space="preserve">AUDIT_ENGINE_MASTER</x:t>
        </x:is>
      </x:c>
    </x:row>
    <x:row r="160">
      <x:c r="A160" s="20" t="inlineStr">
        <x:is>
          <x:t xml:space="preserve">Audit_Engine_Master</x:t>
        </x:is>
      </x:c>
      <x:c r="B160" s="20" t="inlineStr">
        <x:is>
          <x:t xml:space="preserve">Reporting_Framework</x:t>
        </x:is>
      </x:c>
      <x:c r="C160" s="21" t="inlineStr">
        <x:is>
          <x:t xml:space="preserve">Dropdown:Reporting_Framework</x:t>
        </x:is>
      </x:c>
      <x:c r="D160" s="21" t="inlineStr">
        <x:is>
          <x:t xml:space="preserve">Yes</x:t>
        </x:is>
      </x:c>
      <x:c r="E160" s="20" t="inlineStr">
        <x:is>
          <x:t xml:space="preserve">Reporting framework</x:t>
        </x:is>
      </x:c>
      <x:c r="F160" s="20" t="inlineStr">
        <x:is>
          <x:t xml:space="preserve">IFRS</x:t>
        </x:is>
      </x:c>
      <x:c r="G160" s="21" t="inlineStr">
        <x:is>
          <x:t xml:space="preserve">AUDIT_ENGINE_MASTER</x:t>
        </x:is>
      </x:c>
    </x:row>
    <x:row r="161">
      <x:c r="A161" s="20" t="inlineStr">
        <x:is>
          <x:t xml:space="preserve">Audit_Engine_Master</x:t>
        </x:is>
      </x:c>
      <x:c r="B161" s="20" t="inlineStr">
        <x:is>
          <x:t xml:space="preserve">Audit_Type</x:t>
        </x:is>
      </x:c>
      <x:c r="C161" s="21" t="inlineStr">
        <x:is>
          <x:t xml:space="preserve">Dropdown:Audit_Type</x:t>
        </x:is>
      </x:c>
      <x:c r="D161" s="21" t="inlineStr">
        <x:is>
          <x:t xml:space="preserve">Yes</x:t>
        </x:is>
      </x:c>
      <x:c r="E161" s="20" t="inlineStr">
        <x:is>
          <x:t xml:space="preserve">Audit type</x:t>
        </x:is>
      </x:c>
      <x:c r="F161" s="20" t="inlineStr">
        <x:is>
          <x:t xml:space="preserve">Statutory Audit</x:t>
        </x:is>
      </x:c>
      <x:c r="G161" s="21" t="inlineStr">
        <x:is>
          <x:t xml:space="preserve">AUDIT_ENGINE_MASTER</x:t>
        </x:is>
      </x:c>
    </x:row>
    <x:row r="162">
      <x:c r="A162" s="20" t="inlineStr">
        <x:is>
          <x:t xml:space="preserve">Audit_Engine_Master</x:t>
        </x:is>
      </x:c>
      <x:c r="B162" s="20" t="inlineStr">
        <x:is>
          <x:t xml:space="preserve">Engagement_Status</x:t>
        </x:is>
      </x:c>
      <x:c r="C162" s="21" t="inlineStr">
        <x:is>
          <x:t xml:space="preserve">Dropdown:Engagement_Status</x:t>
        </x:is>
      </x:c>
      <x:c r="D162" s="21" t="inlineStr">
        <x:is>
          <x:t xml:space="preserve">Yes</x:t>
        </x:is>
      </x:c>
      <x:c r="E162" s="20" t="inlineStr">
        <x:is>
          <x:t xml:space="preserve">Workflow status</x:t>
        </x:is>
      </x:c>
      <x:c r="F162" s="20" t="inlineStr">
        <x:is>
          <x:t xml:space="preserve">Planning</x:t>
        </x:is>
      </x:c>
      <x:c r="G162" s="21" t="inlineStr">
        <x:is>
          <x:t xml:space="preserve">AUDIT_ENGINE_MASTER</x:t>
        </x:is>
      </x:c>
    </x:row>
    <x:row r="163">
      <x:c r="A163" s="20" t="inlineStr">
        <x:is>
          <x:t xml:space="preserve">Audit_Engine_Master</x:t>
        </x:is>
      </x:c>
      <x:c r="B163" s="20" t="inlineStr">
        <x:is>
          <x:t xml:space="preserve">Materiality_Amount</x:t>
        </x:is>
      </x:c>
      <x:c r="C163" s="21" t="inlineStr">
        <x:is>
          <x:t xml:space="preserve">Number</x:t>
        </x:is>
      </x:c>
      <x:c r="D163" s="21" t="inlineStr">
        <x:is>
          <x:t xml:space="preserve">Yes</x:t>
        </x:is>
      </x:c>
      <x:c r="E163" s="20" t="inlineStr">
        <x:is>
          <x:t xml:space="preserve">Overall materiality</x:t>
        </x:is>
      </x:c>
      <x:c r="F163" s="20" t="inlineStr">
        <x:is>
          <x:t xml:space="preserve">2000000</x:t>
        </x:is>
      </x:c>
      <x:c r="G163" s="21" t="inlineStr">
        <x:is>
          <x:t xml:space="preserve">AUDIT_ENGINE_MASTER</x:t>
        </x:is>
      </x:c>
    </x:row>
    <x:row r="164">
      <x:c r="A164" s="20" t="inlineStr">
        <x:is>
          <x:t xml:space="preserve">Audit_Engine_Master</x:t>
        </x:is>
      </x:c>
      <x:c r="B164" s="20" t="inlineStr">
        <x:is>
          <x:t xml:space="preserve">Performance_Materiality</x:t>
        </x:is>
      </x:c>
      <x:c r="C164" s="21" t="inlineStr">
        <x:is>
          <x:t xml:space="preserve">Number</x:t>
        </x:is>
      </x:c>
      <x:c r="D164" s="21" t="inlineStr">
        <x:is>
          <x:t xml:space="preserve">Yes</x:t>
        </x:is>
      </x:c>
      <x:c r="E164" s="20" t="inlineStr">
        <x:is>
          <x:t xml:space="preserve">PM</x:t>
        </x:is>
      </x:c>
      <x:c r="F164" s="20" t="inlineStr">
        <x:is>
          <x:t xml:space="preserve">1500000</x:t>
        </x:is>
      </x:c>
      <x:c r="G164" s="21" t="inlineStr">
        <x:is>
          <x:t xml:space="preserve">AUDIT_ENGINE_MASTER</x:t>
        </x:is>
      </x:c>
    </x:row>
    <x:row r="165">
      <x:c r="A165" s="20" t="inlineStr">
        <x:is>
          <x:t xml:space="preserve">Audit_Engine_Master</x:t>
        </x:is>
      </x:c>
      <x:c r="B165" s="20" t="inlineStr">
        <x:is>
          <x:t xml:space="preserve">Triviality_Threshold</x:t>
        </x:is>
      </x:c>
      <x:c r="C165" s="21" t="inlineStr">
        <x:is>
          <x:t xml:space="preserve">Number</x:t>
        </x:is>
      </x:c>
      <x:c r="D165" s="21" t="inlineStr">
        <x:is>
          <x:t xml:space="preserve">Yes</x:t>
        </x:is>
      </x:c>
      <x:c r="E165" s="20" t="inlineStr">
        <x:is>
          <x:t xml:space="preserve">Posting threshold</x:t>
        </x:is>
      </x:c>
      <x:c r="F165" s="20" t="inlineStr">
        <x:is>
          <x:t xml:space="preserve">50000</x:t>
        </x:is>
      </x:c>
      <x:c r="G165" s="21" t="inlineStr">
        <x:is>
          <x:t xml:space="preserve">AUDIT_ENGINE_MASTER</x:t>
        </x:is>
      </x:c>
    </x:row>
    <x:row r="166">
      <x:c r="A166" s="20" t="inlineStr">
        <x:is>
          <x:t xml:space="preserve">Audit_Engine_Master</x:t>
        </x:is>
      </x:c>
      <x:c r="B166" s="20" t="inlineStr">
        <x:is>
          <x:t xml:space="preserve">Risk_Level_Overall</x:t>
        </x:is>
      </x:c>
      <x:c r="C166" s="21" t="inlineStr">
        <x:is>
          <x:t xml:space="preserve">Dropdown:Risk_Level</x:t>
        </x:is>
      </x:c>
      <x:c r="D166" s="21" t="inlineStr">
        <x:is>
          <x:t xml:space="preserve">Yes</x:t>
        </x:is>
      </x:c>
      <x:c r="E166" s="20" t="inlineStr">
        <x:is>
          <x:t xml:space="preserve">Overall risk</x:t>
        </x:is>
      </x:c>
      <x:c r="F166" s="20" t="inlineStr">
        <x:is>
          <x:t xml:space="preserve">High</x:t>
        </x:is>
      </x:c>
      <x:c r="G166" s="21" t="inlineStr">
        <x:is>
          <x:t xml:space="preserve">AUDIT_ENGINE_MASTER</x:t>
        </x:is>
      </x:c>
    </x:row>
    <x:row r="167">
      <x:c r="A167" s="20" t="inlineStr">
        <x:is>
          <x:t xml:space="preserve">Audit_Engine_Master</x:t>
        </x:is>
      </x:c>
      <x:c r="B167" s="20" t="inlineStr">
        <x:is>
          <x:t xml:space="preserve">Going_Concern_Flag</x:t>
        </x:is>
      </x:c>
      <x:c r="C167" s="21" t="inlineStr">
        <x:is>
          <x:t xml:space="preserve">Dropdown:YesNo</x:t>
        </x:is>
      </x:c>
      <x:c r="D167" s="21" t="inlineStr">
        <x:is>
          <x:t xml:space="preserve">Yes</x:t>
        </x:is>
      </x:c>
      <x:c r="E167" s="20" t="inlineStr">
        <x:is>
          <x:t xml:space="preserve">ISA 570</x:t>
        </x:is>
      </x:c>
      <x:c r="F167" s="20" t="inlineStr">
        <x:is>
          <x:t xml:space="preserve">Yes</x:t>
        </x:is>
      </x:c>
      <x:c r="G167" s="21" t="inlineStr">
        <x:is>
          <x:t xml:space="preserve">AUDIT_ENGINE_MASTER</x:t>
        </x:is>
      </x:c>
    </x:row>
    <x:row r="168">
      <x:c r="A168" s="20" t="inlineStr">
        <x:is>
          <x:t xml:space="preserve">Audit_Engine_Master</x:t>
        </x:is>
      </x:c>
      <x:c r="B168" s="20" t="inlineStr">
        <x:is>
          <x:t xml:space="preserve">Fraud_Risk_Flag</x:t>
        </x:is>
      </x:c>
      <x:c r="C168" s="21" t="inlineStr">
        <x:is>
          <x:t xml:space="preserve">Dropdown:YesNo</x:t>
        </x:is>
      </x:c>
      <x:c r="D168" s="21" t="inlineStr">
        <x:is>
          <x:t xml:space="preserve">Yes</x:t>
        </x:is>
      </x:c>
      <x:c r="E168" s="20" t="inlineStr">
        <x:is>
          <x:t xml:space="preserve">ISA 240</x:t>
        </x:is>
      </x:c>
      <x:c r="F168" s="20" t="inlineStr">
        <x:is>
          <x:t xml:space="preserve">Yes</x:t>
        </x:is>
      </x:c>
      <x:c r="G168" s="21" t="inlineStr">
        <x:is>
          <x:t xml:space="preserve">AUDIT_ENGINE_MASTER</x:t>
        </x:is>
      </x:c>
    </x:row>
    <x:row r="169">
      <x:c r="A169" s="20" t="inlineStr">
        <x:is>
          <x:t xml:space="preserve">Audit_Engine_Master</x:t>
        </x:is>
      </x:c>
      <x:c r="B169" s="20" t="inlineStr">
        <x:is>
          <x:t xml:space="preserve">Related_Party_Flag</x:t>
        </x:is>
      </x:c>
      <x:c r="C169" s="21" t="inlineStr">
        <x:is>
          <x:t xml:space="preserve">Dropdown:YesNo</x:t>
        </x:is>
      </x:c>
      <x:c r="D169" s="21" t="inlineStr">
        <x:is>
          <x:t xml:space="preserve">Yes</x:t>
        </x:is>
      </x:c>
      <x:c r="E169" s="20" t="inlineStr">
        <x:is>
          <x:t xml:space="preserve">ISA 550</x:t>
        </x:is>
      </x:c>
      <x:c r="F169" s="20" t="inlineStr">
        <x:is>
          <x:t xml:space="preserve">Yes</x:t>
        </x:is>
      </x:c>
      <x:c r="G169" s="21" t="inlineStr">
        <x:is>
          <x:t xml:space="preserve">AUDIT_ENGINE_MASTER</x:t>
        </x:is>
      </x:c>
    </x:row>
    <x:row r="170">
      <x:c r="A170" s="20" t="inlineStr">
        <x:is>
          <x:t xml:space="preserve">Audit_Engine_Master</x:t>
        </x:is>
      </x:c>
      <x:c r="B170" s="20" t="inlineStr">
        <x:is>
          <x:t xml:space="preserve">Laws_Regulation_Flag</x:t>
        </x:is>
      </x:c>
      <x:c r="C170" s="21" t="inlineStr">
        <x:is>
          <x:t xml:space="preserve">Dropdown:YesNo</x:t>
        </x:is>
      </x:c>
      <x:c r="D170" s="21" t="inlineStr">
        <x:is>
          <x:t xml:space="preserve">Yes</x:t>
        </x:is>
      </x:c>
      <x:c r="E170" s="20" t="inlineStr">
        <x:is>
          <x:t xml:space="preserve">ISA 250</x:t>
        </x:is>
      </x:c>
      <x:c r="F170" s="20" t="inlineStr">
        <x:is>
          <x:t xml:space="preserve">Yes</x:t>
        </x:is>
      </x:c>
      <x:c r="G170" s="21" t="inlineStr">
        <x:is>
          <x:t xml:space="preserve">AUDIT_ENGINE_MASTER</x:t>
        </x:is>
      </x:c>
    </x:row>
    <x:row r="171">
      <x:c r="A171" s="20" t="inlineStr">
        <x:is>
          <x:t xml:space="preserve">Audit_Engine_Master</x:t>
        </x:is>
      </x:c>
      <x:c r="B171" s="20" t="inlineStr">
        <x:is>
          <x:t xml:space="preserve">Component_Audit_Flag</x:t>
        </x:is>
      </x:c>
      <x:c r="C171" s="21" t="inlineStr">
        <x:is>
          <x:t xml:space="preserve">Dropdown:YesNo</x:t>
        </x:is>
      </x:c>
      <x:c r="D171" s="21" t="inlineStr">
        <x:is>
          <x:t xml:space="preserve">Yes</x:t>
        </x:is>
      </x:c>
      <x:c r="E171" s="20" t="inlineStr">
        <x:is>
          <x:t xml:space="preserve">ISA 600</x:t>
        </x:is>
      </x:c>
      <x:c r="F171" s="20" t="inlineStr">
        <x:is>
          <x:t xml:space="preserve">No</x:t>
        </x:is>
      </x:c>
      <x:c r="G171" s="21" t="inlineStr">
        <x:is>
          <x:t xml:space="preserve">AUDIT_ENGINE_MASTER</x:t>
        </x:is>
      </x:c>
    </x:row>
    <x:row r="172">
      <x:c r="A172" s="20" t="inlineStr">
        <x:is>
          <x:t xml:space="preserve">Audit_Engine_Master</x:t>
        </x:is>
      </x:c>
      <x:c r="B172" s="20" t="inlineStr">
        <x:is>
          <x:t xml:space="preserve">Group_Audit_Flag</x:t>
        </x:is>
      </x:c>
      <x:c r="C172" s="21" t="inlineStr">
        <x:is>
          <x:t xml:space="preserve">Dropdown:YesNo</x:t>
        </x:is>
      </x:c>
      <x:c r="D172" s="21" t="inlineStr">
        <x:is>
          <x:t xml:space="preserve">Yes</x:t>
        </x:is>
      </x:c>
      <x:c r="E172" s="20" t="inlineStr">
        <x:is>
          <x:t xml:space="preserve">ISA 600</x:t>
        </x:is>
      </x:c>
      <x:c r="F172" s="20" t="inlineStr">
        <x:is>
          <x:t xml:space="preserve">No</x:t>
        </x:is>
      </x:c>
      <x:c r="G172" s="21" t="inlineStr">
        <x:is>
          <x:t xml:space="preserve">AUDIT_ENGINE_MASTER</x:t>
        </x:is>
      </x:c>
    </x:row>
    <x:row r="173">
      <x:c r="A173" s="20" t="inlineStr">
        <x:is>
          <x:t xml:space="preserve">Audit_Engine_Master</x:t>
        </x:is>
      </x:c>
      <x:c r="B173" s="20" t="inlineStr">
        <x:is>
          <x:t xml:space="preserve">IT_System_Type</x:t>
        </x:is>
      </x:c>
      <x:c r="C173" s="21" t="inlineStr">
        <x:is>
          <x:t xml:space="preserve">Text</x:t>
        </x:is>
      </x:c>
      <x:c r="D173" s="21" t="inlineStr">
        <x:is>
          <x:t xml:space="preserve">Yes</x:t>
        </x:is>
      </x:c>
      <x:c r="E173" s="20" t="inlineStr">
        <x:is>
          <x:t xml:space="preserve">ERP / manual / hybrid</x:t>
        </x:is>
      </x:c>
      <x:c r="F173" s="20" t="inlineStr">
        <x:is>
          <x:t xml:space="preserve">ERP</x:t>
        </x:is>
      </x:c>
      <x:c r="G173" s="21" t="inlineStr">
        <x:is>
          <x:t xml:space="preserve">AUDIT_ENGINE_MASTER</x:t>
        </x:is>
      </x:c>
    </x:row>
    <x:row r="174">
      <x:c r="A174" s="20" t="inlineStr">
        <x:is>
          <x:t xml:space="preserve">Audit_Engine_Master</x:t>
        </x:is>
      </x:c>
      <x:c r="B174" s="20" t="inlineStr">
        <x:is>
          <x:t xml:space="preserve">Internal_Audit_Flag</x:t>
        </x:is>
      </x:c>
      <x:c r="C174" s="21" t="inlineStr">
        <x:is>
          <x:t xml:space="preserve">Dropdown:YesNo</x:t>
        </x:is>
      </x:c>
      <x:c r="D174" s="21" t="inlineStr">
        <x:is>
          <x:t xml:space="preserve">Yes</x:t>
        </x:is>
      </x:c>
      <x:c r="E174" s="20" t="inlineStr">
        <x:is>
          <x:t xml:space="preserve">ISA 610</x:t>
        </x:is>
      </x:c>
      <x:c r="F174" s="20" t="inlineStr">
        <x:is>
          <x:t xml:space="preserve">Yes</x:t>
        </x:is>
      </x:c>
      <x:c r="G174" s="21" t="inlineStr">
        <x:is>
          <x:t xml:space="preserve">AUDIT_ENGINE_MASTER</x:t>
        </x:is>
      </x:c>
    </x:row>
    <x:row r="175">
      <x:c r="A175" s="20" t="inlineStr">
        <x:is>
          <x:t xml:space="preserve">Audit_Engine_Master</x:t>
        </x:is>
      </x:c>
      <x:c r="B175" s="20" t="inlineStr">
        <x:is>
          <x:t xml:space="preserve">Use_of_Expert_Flag</x:t>
        </x:is>
      </x:c>
      <x:c r="C175" s="21" t="inlineStr">
        <x:is>
          <x:t xml:space="preserve">Dropdown:YesNo</x:t>
        </x:is>
      </x:c>
      <x:c r="D175" s="21" t="inlineStr">
        <x:is>
          <x:t xml:space="preserve">Yes</x:t>
        </x:is>
      </x:c>
      <x:c r="E175" s="20" t="inlineStr">
        <x:is>
          <x:t xml:space="preserve">ISA 620</x:t>
        </x:is>
      </x:c>
      <x:c r="F175" s="20" t="inlineStr">
        <x:is>
          <x:t xml:space="preserve">No</x:t>
        </x:is>
      </x:c>
      <x:c r="G175" s="21" t="inlineStr">
        <x:is>
          <x:t xml:space="preserve">AUDIT_ENGINE_MASTER</x:t>
        </x:is>
      </x:c>
    </x:row>
    <x:row r="176">
      <x:c r="A176" s="20" t="inlineStr">
        <x:is>
          <x:t xml:space="preserve">Audit_Engine_Master</x:t>
        </x:is>
      </x:c>
      <x:c r="B176" s="20" t="inlineStr">
        <x:is>
          <x:t xml:space="preserve">Sampling_Method</x:t>
        </x:is>
      </x:c>
      <x:c r="C176" s="21" t="inlineStr">
        <x:is>
          <x:t xml:space="preserve">Dropdown:Sampling_Method</x:t>
        </x:is>
      </x:c>
      <x:c r="D176" s="21" t="inlineStr">
        <x:is>
          <x:t xml:space="preserve">Yes</x:t>
        </x:is>
      </x:c>
      <x:c r="E176" s="20" t="inlineStr">
        <x:is>
          <x:t xml:space="preserve">Sampling method</x:t>
        </x:is>
      </x:c>
      <x:c r="F176" s="20" t="inlineStr">
        <x:is>
          <x:t xml:space="preserve">MUS</x:t>
        </x:is>
      </x:c>
      <x:c r="G176" s="21" t="inlineStr">
        <x:is>
          <x:t xml:space="preserve">AUDIT_ENGINE_MASTER</x:t>
        </x:is>
      </x:c>
    </x:row>
    <x:row r="177">
      <x:c r="A177" s="20" t="inlineStr">
        <x:is>
          <x:t xml:space="preserve">Audit_Engine_Master</x:t>
        </x:is>
      </x:c>
      <x:c r="B177" s="20" t="inlineStr">
        <x:is>
          <x:t xml:space="preserve">Data_Source</x:t>
        </x:is>
      </x:c>
      <x:c r="C177" s="21" t="inlineStr">
        <x:is>
          <x:t xml:space="preserve">Dropdown:Data_Source</x:t>
        </x:is>
      </x:c>
      <x:c r="D177" s="21" t="inlineStr">
        <x:is>
          <x:t xml:space="preserve">Yes</x:t>
        </x:is>
      </x:c>
      <x:c r="E177" s="20" t="inlineStr">
        <x:is>
          <x:t xml:space="preserve">Source of metadata</x:t>
        </x:is>
      </x:c>
      <x:c r="F177" s="20" t="inlineStr">
        <x:is>
          <x:t xml:space="preserve">System Generated</x:t>
        </x:is>
      </x:c>
      <x:c r="G177" s="21" t="inlineStr">
        <x:is>
          <x:t xml:space="preserve">AUDIT_ENGINE_MASTER</x:t>
        </x:is>
      </x:c>
    </x:row>
    <x:row r="178">
      <x:c r="A178" s="20" t="inlineStr">
        <x:is>
          <x:t xml:space="preserve">Audit_Engine_Master</x:t>
        </x:is>
      </x:c>
      <x:c r="B178" s="20" t="inlineStr">
        <x:is>
          <x:t xml:space="preserve">Confidence_Level</x:t>
        </x:is>
      </x:c>
      <x:c r="C178" s="21" t="inlineStr">
        <x:is>
          <x:t xml:space="preserve">Number</x:t>
        </x:is>
      </x:c>
      <x:c r="D178" s="21" t="inlineStr">
        <x:is>
          <x:t xml:space="preserve">Yes</x:t>
        </x:is>
      </x:c>
      <x:c r="E178" s="20" t="inlineStr">
        <x:is>
          <x:t xml:space="preserve">Confidence %</x:t>
        </x:is>
      </x:c>
      <x:c r="F178" s="20" t="inlineStr">
        <x:is>
          <x:t xml:space="preserve">95</x:t>
        </x:is>
      </x:c>
      <x:c r="G178" s="21" t="inlineStr">
        <x:is>
          <x:t xml:space="preserve">AUDIT_ENGINE_MASTER</x:t>
        </x:is>
      </x:c>
    </x:row>
    <x:row r="179">
      <x:c r="A179" s="20" t="inlineStr">
        <x:is>
          <x:t xml:space="preserve">Audit_Engine_Master</x:t>
        </x:is>
      </x:c>
      <x:c r="B179" s="20" t="inlineStr">
        <x:is>
          <x:t xml:space="preserve">Exception_Flag</x:t>
        </x:is>
      </x:c>
      <x:c r="C179" s="21" t="inlineStr">
        <x:is>
          <x:t xml:space="preserve">Dropdown:YesNo</x:t>
        </x:is>
      </x:c>
      <x:c r="D179" s="21" t="inlineStr">
        <x:is>
          <x:t xml:space="preserve">Yes</x:t>
        </x:is>
      </x:c>
      <x:c r="E179" s="20" t="inlineStr">
        <x:is>
          <x:t xml:space="preserve">Exception / review</x:t>
        </x:is>
      </x:c>
      <x:c r="F179" s="20" t="inlineStr">
        <x:is>
          <x:t xml:space="preserve">No</x:t>
        </x:is>
      </x:c>
      <x:c r="G179" s="21" t="inlineStr">
        <x:is>
          <x:t xml:space="preserve">AUDIT_ENGINE_MASTER</x:t>
        </x:is>
      </x:c>
    </x:row>
    <x:row r="180">
      <x:c r="A180" s="20" t="inlineStr">
        <x:is>
          <x:t xml:space="preserve">Audit_Engine_Master</x:t>
        </x:is>
      </x:c>
      <x:c r="B180" s="20" t="inlineStr">
        <x:is>
          <x:t xml:space="preserve">Prepared_By</x:t>
        </x:is>
      </x:c>
      <x:c r="C180" s="21" t="inlineStr">
        <x:is>
          <x:t xml:space="preserve">Text</x:t>
        </x:is>
      </x:c>
      <x:c r="D180" s="21" t="inlineStr">
        <x:is>
          <x:t xml:space="preserve">Yes</x:t>
        </x:is>
      </x:c>
      <x:c r="E180" s="20" t="inlineStr">
        <x:is>
          <x:t xml:space="preserve">Preparer</x:t>
        </x:is>
      </x:c>
      <x:c r="F180" s="20" t="inlineStr">
        <x:is>
          <x:t xml:space="preserve">Associate 1</x:t>
        </x:is>
      </x:c>
      <x:c r="G180" s="21" t="inlineStr">
        <x:is>
          <x:t xml:space="preserve">AUDIT_ENGINE_MASTER</x:t>
        </x:is>
      </x:c>
    </x:row>
    <x:row r="181">
      <x:c r="A181" s="20" t="inlineStr">
        <x:is>
          <x:t xml:space="preserve">Audit_Engine_Master</x:t>
        </x:is>
      </x:c>
      <x:c r="B181" s="20" t="inlineStr">
        <x:is>
          <x:t xml:space="preserve">Reviewed_By</x:t>
        </x:is>
      </x:c>
      <x:c r="C181" s="21" t="inlineStr">
        <x:is>
          <x:t xml:space="preserve">Text</x:t>
        </x:is>
      </x:c>
      <x:c r="D181" s="21" t="inlineStr">
        <x:is>
          <x:t xml:space="preserve">No</x:t>
        </x:is>
      </x:c>
      <x:c r="E181" s="20" t="inlineStr">
        <x:is>
          <x:t xml:space="preserve">Reviewer</x:t>
        </x:is>
      </x:c>
      <x:c r="F181" s="20" t="inlineStr">
        <x:is>
          <x:t xml:space="preserve">Manager 1</x:t>
        </x:is>
      </x:c>
      <x:c r="G181" s="21" t="inlineStr">
        <x:is>
          <x:t xml:space="preserve">AUDIT_ENGINE_MASTER</x:t>
        </x:is>
      </x:c>
    </x:row>
    <x:row r="182">
      <x:c r="A182" s="20" t="inlineStr">
        <x:is>
          <x:t xml:space="preserve">Audit_Engine_Master</x:t>
        </x:is>
      </x:c>
      <x:c r="B182" s="20" t="inlineStr">
        <x:is>
          <x:t xml:space="preserve">Approved_By</x:t>
        </x:is>
      </x:c>
      <x:c r="C182" s="21" t="inlineStr">
        <x:is>
          <x:t xml:space="preserve">Text</x:t>
        </x:is>
      </x:c>
      <x:c r="D182" s="21" t="inlineStr">
        <x:is>
          <x:t xml:space="preserve">No</x:t>
        </x:is>
      </x:c>
      <x:c r="E182" s="20" t="inlineStr">
        <x:is>
          <x:t xml:space="preserve">Approver</x:t>
        </x:is>
      </x:c>
      <x:c r="F182" s="20" t="inlineStr">
        <x:is>
          <x:t xml:space="preserve">Partner 1</x:t>
        </x:is>
      </x:c>
      <x:c r="G182" s="21" t="inlineStr">
        <x:is>
          <x:t xml:space="preserve">AUDIT_ENGINE_MASTER</x:t>
        </x:is>
      </x:c>
    </x:row>
    <x:row r="183">
      <x:c r="A183" s="20" t="inlineStr">
        <x:is>
          <x:t xml:space="preserve">Audit_Engine_Master</x:t>
        </x:is>
      </x:c>
      <x:c r="B183" s="20" t="inlineStr">
        <x:is>
          <x:t xml:space="preserve">Timestamp</x:t>
        </x:is>
      </x:c>
      <x:c r="C183" s="21" t="inlineStr">
        <x:is>
          <x:t xml:space="preserve">DateTime</x:t>
        </x:is>
      </x:c>
      <x:c r="D183" s="21" t="inlineStr">
        <x:is>
          <x:t xml:space="preserve">Yes</x:t>
        </x:is>
      </x:c>
      <x:c r="E183" s="20" t="inlineStr">
        <x:is>
          <x:t xml:space="preserve">Audit trail</x:t>
        </x:is>
      </x:c>
      <x:c r="F183" s="20" t="inlineStr">
        <x:is>
          <x:t xml:space="preserve">2026-04-04 09:30:00</x:t>
        </x:is>
      </x:c>
      <x:c r="G183" s="21" t="inlineStr">
        <x:is>
          <x:t xml:space="preserve">AUDIT_ENGINE_MASTER</x:t>
        </x:is>
      </x:c>
    </x:row>
    <x:row r="184">
      <x:c r="A184" s="20" t="inlineStr">
        <x:is>
          <x:t xml:space="preserve">WP_Trigger_Engine</x:t>
        </x:is>
      </x:c>
      <x:c r="B184" s="20" t="inlineStr">
        <x:is>
          <x:t xml:space="preserve">WP_Code</x:t>
        </x:is>
      </x:c>
      <x:c r="C184" s="21" t="inlineStr">
        <x:is>
          <x:t xml:space="preserve">Text</x:t>
        </x:is>
      </x:c>
      <x:c r="D184" s="21" t="inlineStr">
        <x:is>
          <x:t xml:space="preserve">Yes</x:t>
        </x:is>
      </x:c>
      <x:c r="E184" s="20" t="inlineStr">
        <x:is>
          <x:t xml:space="preserve">Working paper code</x:t>
        </x:is>
      </x:c>
      <x:c r="F184" s="20" t="inlineStr">
        <x:is>
          <x:t xml:space="preserve">A1</x:t>
        </x:is>
      </x:c>
      <x:c r="G184" s="21" t="inlineStr">
        <x:is>
          <x:t xml:space="preserve">WP_TRIGGER_ENGINE</x:t>
        </x:is>
      </x:c>
    </x:row>
    <x:row r="185">
      <x:c r="A185" s="20" t="inlineStr">
        <x:is>
          <x:t xml:space="preserve">WP_Trigger_Engine</x:t>
        </x:is>
      </x:c>
      <x:c r="B185" s="20" t="inlineStr">
        <x:is>
          <x:t xml:space="preserve">WP_Name</x:t>
        </x:is>
      </x:c>
      <x:c r="C185" s="21" t="inlineStr">
        <x:is>
          <x:t xml:space="preserve">Text</x:t>
        </x:is>
      </x:c>
      <x:c r="D185" s="21" t="inlineStr">
        <x:is>
          <x:t xml:space="preserve">Yes</x:t>
        </x:is>
      </x:c>
      <x:c r="E185" s="20" t="inlineStr">
        <x:is>
          <x:t xml:space="preserve">Working paper name</x:t>
        </x:is>
      </x:c>
      <x:c r="F185" s="20" t="inlineStr">
        <x:is>
          <x:t xml:space="preserve">Engagement Letter</x:t>
        </x:is>
      </x:c>
      <x:c r="G185" s="21" t="inlineStr">
        <x:is>
          <x:t xml:space="preserve">WP_TRIGGER_ENGINE</x:t>
        </x:is>
      </x:c>
    </x:row>
    <x:row r="186">
      <x:c r="A186" s="20" t="inlineStr">
        <x:is>
          <x:t xml:space="preserve">WP_Trigger_Engine</x:t>
        </x:is>
      </x:c>
      <x:c r="B186" s="20" t="inlineStr">
        <x:is>
          <x:t xml:space="preserve">Category</x:t>
        </x:is>
      </x:c>
      <x:c r="C186" s="21" t="inlineStr">
        <x:is>
          <x:t xml:space="preserve">Text</x:t>
        </x:is>
      </x:c>
      <x:c r="D186" s="21" t="inlineStr">
        <x:is>
          <x:t xml:space="preserve">Yes</x:t>
        </x:is>
      </x:c>
      <x:c r="E186" s="20" t="inlineStr">
        <x:is>
          <x:t xml:space="preserve">Planning / fieldwork / completion</x:t>
        </x:is>
      </x:c>
      <x:c r="F186" s="20" t="inlineStr">
        <x:is>
          <x:t xml:space="preserve">Planning</x:t>
        </x:is>
      </x:c>
      <x:c r="G186" s="21" t="inlineStr">
        <x:is>
          <x:t xml:space="preserve">WP_TRIGGER_ENGINE</x:t>
        </x:is>
      </x:c>
    </x:row>
    <x:row r="187">
      <x:c r="A187" s="20" t="inlineStr">
        <x:is>
          <x:t xml:space="preserve">WP_Trigger_Engine</x:t>
        </x:is>
      </x:c>
      <x:c r="B187" s="20" t="inlineStr">
        <x:is>
          <x:t xml:space="preserve">Trigger_Condition</x:t>
        </x:is>
      </x:c>
      <x:c r="C187" s="21" t="inlineStr">
        <x:is>
          <x:t xml:space="preserve">Text</x:t>
        </x:is>
      </x:c>
      <x:c r="D187" s="21" t="inlineStr">
        <x:is>
          <x:t xml:space="preserve">Yes</x:t>
        </x:is>
      </x:c>
      <x:c r="E187" s="20" t="inlineStr">
        <x:is>
          <x:t xml:space="preserve">Rule or condition</x:t>
        </x:is>
      </x:c>
      <x:c r="F187" s="20" t="inlineStr">
        <x:is>
          <x:t xml:space="preserve">Always</x:t>
        </x:is>
      </x:c>
      <x:c r="G187" s="21" t="inlineStr">
        <x:is>
          <x:t xml:space="preserve">WP_TRIGGER_ENGINE</x:t>
        </x:is>
      </x:c>
    </x:row>
    <x:row r="188">
      <x:c r="A188" s="20" t="inlineStr">
        <x:is>
          <x:t xml:space="preserve">WP_Trigger_Engine</x:t>
        </x:is>
      </x:c>
      <x:c r="B188" s="20" t="inlineStr">
        <x:is>
          <x:t xml:space="preserve">ISA_Reference</x:t>
        </x:is>
      </x:c>
      <x:c r="C188" s="21" t="inlineStr">
        <x:is>
          <x:t xml:space="preserve">Text</x:t>
        </x:is>
      </x:c>
      <x:c r="D188" s="21" t="inlineStr">
        <x:is>
          <x:t xml:space="preserve">Yes</x:t>
        </x:is>
      </x:c>
      <x:c r="E188" s="20" t="inlineStr">
        <x:is>
          <x:t xml:space="preserve">Relevant ISA</x:t>
        </x:is>
      </x:c>
      <x:c r="F188" s="20" t="inlineStr">
        <x:is>
          <x:t xml:space="preserve">ISA 210</x:t>
        </x:is>
      </x:c>
      <x:c r="G188" s="21" t="inlineStr">
        <x:is>
          <x:t xml:space="preserve">WP_TRIGGER_ENGINE</x:t>
        </x:is>
      </x:c>
    </x:row>
    <x:row r="189">
      <x:c r="A189" s="20" t="inlineStr">
        <x:is>
          <x:t xml:space="preserve">WP_Trigger_Engine</x:t>
        </x:is>
      </x:c>
      <x:c r="B189" s="20" t="inlineStr">
        <x:is>
          <x:t xml:space="preserve">Output_Format</x:t>
        </x:is>
      </x:c>
      <x:c r="C189" s="21" t="inlineStr">
        <x:is>
          <x:t xml:space="preserve">Dropdown:WP_Output_Format</x:t>
        </x:is>
      </x:c>
      <x:c r="D189" s="21" t="inlineStr">
        <x:is>
          <x:t xml:space="preserve">Yes</x:t>
        </x:is>
      </x:c>
      <x:c r="E189" s="20" t="inlineStr">
        <x:is>
          <x:t xml:space="preserve">Primary output format</x:t>
        </x:is>
      </x:c>
      <x:c r="F189" s="20" t="inlineStr">
        <x:is>
          <x:t xml:space="preserve">Word</x:t>
        </x:is>
      </x:c>
      <x:c r="G189" s="21" t="inlineStr">
        <x:is>
          <x:t xml:space="preserve">WP_TRIGGER_ENGINE</x:t>
        </x:is>
      </x:c>
    </x:row>
    <x:row r="190">
      <x:c r="A190" s="20" t="inlineStr">
        <x:is>
          <x:t xml:space="preserve">WP_Trigger_Engine</x:t>
        </x:is>
      </x:c>
      <x:c r="B190" s="20" t="inlineStr">
        <x:is>
          <x:t xml:space="preserve">Mandatory_Flag</x:t>
        </x:is>
      </x:c>
      <x:c r="C190" s="21" t="inlineStr">
        <x:is>
          <x:t xml:space="preserve">Dropdown:YesNo</x:t>
        </x:is>
      </x:c>
      <x:c r="D190" s="21" t="inlineStr">
        <x:is>
          <x:t xml:space="preserve">Yes</x:t>
        </x:is>
      </x:c>
      <x:c r="E190" s="20" t="inlineStr">
        <x:is>
          <x:t xml:space="preserve">Always required?</x:t>
        </x:is>
      </x:c>
      <x:c r="F190" s="20" t="inlineStr">
        <x:is>
          <x:t xml:space="preserve">Yes</x:t>
        </x:is>
      </x:c>
      <x:c r="G190" s="21" t="inlineStr">
        <x:is>
          <x:t xml:space="preserve">WP_TRIGGER_ENGINE</x:t>
        </x:is>
      </x:c>
    </x:row>
    <x:row r="191">
      <x:c r="A191" s="20" t="inlineStr">
        <x:is>
          <x:t xml:space="preserve">WP_Trigger_Engine</x:t>
        </x:is>
      </x:c>
      <x:c r="B191" s="20" t="inlineStr">
        <x:is>
          <x:t xml:space="preserve">Owner_Role</x:t>
        </x:is>
      </x:c>
      <x:c r="C191" s="21" t="inlineStr">
        <x:is>
          <x:t xml:space="preserve">Text</x:t>
        </x:is>
      </x:c>
      <x:c r="D191" s="21" t="inlineStr">
        <x:is>
          <x:t xml:space="preserve">No</x:t>
        </x:is>
      </x:c>
      <x:c r="E191" s="20" t="inlineStr">
        <x:is>
          <x:t xml:space="preserve">Responsible role</x:t>
        </x:is>
      </x:c>
      <x:c r="F191" s="20" t="inlineStr">
        <x:is>
          <x:t xml:space="preserve">Manager</x:t>
        </x:is>
      </x:c>
      <x:c r="G191" s="21" t="inlineStr">
        <x:is>
          <x:t xml:space="preserve">WP_TRIGGER_ENGINE</x:t>
        </x:is>
      </x:c>
    </x:row>
    <x:row r="192">
      <x:c r="A192" s="20" t="inlineStr">
        <x:is>
          <x:t xml:space="preserve">WP_Trigger_Engine</x:t>
        </x:is>
      </x:c>
      <x:c r="B192" s="20" t="inlineStr">
        <x:is>
          <x:t xml:space="preserve">Status</x:t>
        </x:is>
      </x:c>
      <x:c r="C192" s="21" t="inlineStr">
        <x:is>
          <x:t xml:space="preserve">Dropdown:WP_Status</x:t>
        </x:is>
      </x:c>
      <x:c r="D192" s="21" t="inlineStr">
        <x:is>
          <x:t xml:space="preserve">Yes</x:t>
        </x:is>
      </x:c>
      <x:c r="E192" s="20" t="inlineStr">
        <x:is>
          <x:t xml:space="preserve">Current status</x:t>
        </x:is>
      </x:c>
      <x:c r="F192" s="20" t="inlineStr">
        <x:is>
          <x:t xml:space="preserve">Prepared</x:t>
        </x:is>
      </x:c>
      <x:c r="G192" s="21" t="inlineStr">
        <x:is>
          <x:t xml:space="preserve">WP_TRIGGER_ENGINE</x:t>
        </x:is>
      </x:c>
    </x:row>
    <x:row r="193">
      <x:c r="A193" s="20" t="inlineStr">
        <x:is>
          <x:t xml:space="preserve">WP_Trigger_Engine</x:t>
        </x:is>
      </x:c>
      <x:c r="B193" s="20" t="inlineStr">
        <x:is>
          <x:t xml:space="preserve">Notes</x:t>
        </x:is>
      </x:c>
      <x:c r="C193" s="21" t="inlineStr">
        <x:is>
          <x:t xml:space="preserve">Text</x:t>
        </x:is>
      </x:c>
      <x:c r="D193" s="21" t="inlineStr">
        <x:is>
          <x:t xml:space="preserve">No</x:t>
        </x:is>
      </x:c>
      <x:c r="E193" s="20" t="inlineStr">
        <x:is>
          <x:t xml:space="preserve">Implementation note</x:t>
        </x:is>
      </x:c>
      <x:c r="F193" s="20" t="inlineStr">
        <x:is>
          <x:t xml:space="preserve"/>
        </x:is>
      </x:c>
      <x:c r="G193" s="21" t="inlineStr">
        <x:is>
          <x:t xml:space="preserve">WP_TRIGGER_ENGINE</x:t>
        </x:is>
      </x:c>
    </x:row>
    <x:row r="194">
      <x:c r="A194" s="20" t="inlineStr">
        <x:is>
          <x:t xml:space="preserve">Assertion_Linkage</x:t>
        </x:is>
      </x:c>
      <x:c r="B194" s="20" t="inlineStr">
        <x:is>
          <x:t xml:space="preserve">Account_Type_or_FS_Line</x:t>
        </x:is>
      </x:c>
      <x:c r="C194" s="21" t="inlineStr">
        <x:is>
          <x:t xml:space="preserve">Text</x:t>
        </x:is>
      </x:c>
      <x:c r="D194" s="21" t="inlineStr">
        <x:is>
          <x:t xml:space="preserve">Yes</x:t>
        </x:is>
      </x:c>
      <x:c r="E194" s="20" t="inlineStr">
        <x:is>
          <x:t xml:space="preserve">Account type / line item</x:t>
        </x:is>
      </x:c>
      <x:c r="F194" s="20" t="inlineStr">
        <x:is>
          <x:t xml:space="preserve">Receivables</x:t>
        </x:is>
      </x:c>
      <x:c r="G194" s="21" t="inlineStr">
        <x:is>
          <x:t xml:space="preserve">ASSERTION_LINKAGE</x:t>
        </x:is>
      </x:c>
    </x:row>
    <x:row r="195">
      <x:c r="A195" s="20" t="inlineStr">
        <x:is>
          <x:t xml:space="preserve">Assertion_Linkage</x:t>
        </x:is>
      </x:c>
      <x:c r="B195" s="20" t="inlineStr">
        <x:is>
          <x:t xml:space="preserve">Assertion</x:t>
        </x:is>
      </x:c>
      <x:c r="C195" s="21" t="inlineStr">
        <x:is>
          <x:t xml:space="preserve">Dropdown:Assertion</x:t>
        </x:is>
      </x:c>
      <x:c r="D195" s="21" t="inlineStr">
        <x:is>
          <x:t xml:space="preserve">Yes</x:t>
        </x:is>
      </x:c>
      <x:c r="E195" s="20" t="inlineStr">
        <x:is>
          <x:t xml:space="preserve">Relevant assertion</x:t>
        </x:is>
      </x:c>
      <x:c r="F195" s="20" t="inlineStr">
        <x:is>
          <x:t xml:space="preserve">Existence</x:t>
        </x:is>
      </x:c>
      <x:c r="G195" s="21" t="inlineStr">
        <x:is>
          <x:t xml:space="preserve">ASSERTION_LINKAGE</x:t>
        </x:is>
      </x:c>
    </x:row>
    <x:row r="196">
      <x:c r="A196" s="20" t="inlineStr">
        <x:is>
          <x:t xml:space="preserve">Assertion_Linkage</x:t>
        </x:is>
      </x:c>
      <x:c r="B196" s="20" t="inlineStr">
        <x:is>
          <x:t xml:space="preserve">WP_Link</x:t>
        </x:is>
      </x:c>
      <x:c r="C196" s="21" t="inlineStr">
        <x:is>
          <x:t xml:space="preserve">Text</x:t>
        </x:is>
      </x:c>
      <x:c r="D196" s="21" t="inlineStr">
        <x:is>
          <x:t xml:space="preserve">Yes</x:t>
        </x:is>
      </x:c>
      <x:c r="E196" s="20" t="inlineStr">
        <x:is>
          <x:t xml:space="preserve">Linked workpaper or procedure</x:t>
        </x:is>
      </x:c>
      <x:c r="F196" s="20" t="inlineStr">
        <x:is>
          <x:t xml:space="preserve">Debtor Confirmation</x:t>
        </x:is>
      </x:c>
      <x:c r="G196" s="21" t="inlineStr">
        <x:is>
          <x:t xml:space="preserve">ASSERTION_LINKAGE</x:t>
        </x:is>
      </x:c>
    </x:row>
    <x:row r="197">
      <x:c r="A197" s="20" t="inlineStr">
        <x:is>
          <x:t xml:space="preserve">Assertion_Linkage</x:t>
        </x:is>
      </x:c>
      <x:c r="B197" s="20" t="inlineStr">
        <x:is>
          <x:t xml:space="preserve">Primary_Test</x:t>
        </x:is>
      </x:c>
      <x:c r="C197" s="21" t="inlineStr">
        <x:is>
          <x:t xml:space="preserve">Dropdown:Test_Type</x:t>
        </x:is>
      </x:c>
      <x:c r="D197" s="21" t="inlineStr">
        <x:is>
          <x:t xml:space="preserve">Yes</x:t>
        </x:is>
      </x:c>
      <x:c r="E197" s="20" t="inlineStr">
        <x:is>
          <x:t xml:space="preserve">Main testing approach</x:t>
        </x:is>
      </x:c>
      <x:c r="F197" s="20" t="inlineStr">
        <x:is>
          <x:t xml:space="preserve">Substantive</x:t>
        </x:is>
      </x:c>
      <x:c r="G197" s="21" t="inlineStr">
        <x:is>
          <x:t xml:space="preserve">ASSERTION_LINKAGE</x:t>
        </x:is>
      </x:c>
    </x:row>
    <x:row r="198">
      <x:c r="A198" s="20" t="inlineStr">
        <x:is>
          <x:t xml:space="preserve">Assertion_Linkage</x:t>
        </x:is>
      </x:c>
      <x:c r="B198" s="20" t="inlineStr">
        <x:is>
          <x:t xml:space="preserve">Notes</x:t>
        </x:is>
      </x:c>
      <x:c r="C198" s="21" t="inlineStr">
        <x:is>
          <x:t xml:space="preserve">Text</x:t>
        </x:is>
      </x:c>
      <x:c r="D198" s="21" t="inlineStr">
        <x:is>
          <x:t xml:space="preserve">No</x:t>
        </x:is>
      </x:c>
      <x:c r="E198" s="20" t="inlineStr">
        <x:is>
          <x:t xml:space="preserve">Notes</x:t>
        </x:is>
      </x:c>
      <x:c r="F198" s="20" t="inlineStr">
        <x:is>
          <x:t xml:space="preserve"/>
        </x:is>
      </x:c>
      <x:c r="G198" s="21" t="inlineStr">
        <x:is>
          <x:t xml:space="preserve">ASSERTION_LINKAGE</x:t>
        </x:is>
      </x:c>
    </x:row>
    <x:row r="199">
      <x:c r="A199" s="20" t="inlineStr">
        <x:is>
          <x:t xml:space="preserve">Sampling_Rules</x:t>
        </x:is>
      </x:c>
      <x:c r="B199" s="20" t="inlineStr">
        <x:is>
          <x:t xml:space="preserve">Risk_Level</x:t>
        </x:is>
      </x:c>
      <x:c r="C199" s="21" t="inlineStr">
        <x:is>
          <x:t xml:space="preserve">Dropdown:Risk_Level</x:t>
        </x:is>
      </x:c>
      <x:c r="D199" s="21" t="inlineStr">
        <x:is>
          <x:t xml:space="preserve">Yes</x:t>
        </x:is>
      </x:c>
      <x:c r="E199" s="20" t="inlineStr">
        <x:is>
          <x:t xml:space="preserve">Risk level</x:t>
        </x:is>
      </x:c>
      <x:c r="F199" s="20" t="inlineStr">
        <x:is>
          <x:t xml:space="preserve">High</x:t>
        </x:is>
      </x:c>
      <x:c r="G199" s="21" t="inlineStr">
        <x:is>
          <x:t xml:space="preserve">SAMPLING_RULES</x:t>
        </x:is>
      </x:c>
    </x:row>
    <x:row r="200">
      <x:c r="A200" s="20" t="inlineStr">
        <x:is>
          <x:t xml:space="preserve">Sampling_Rules</x:t>
        </x:is>
      </x:c>
      <x:c r="B200" s="20" t="inlineStr">
        <x:is>
          <x:t xml:space="preserve">Materiality_Band</x:t>
        </x:is>
      </x:c>
      <x:c r="C200" s="21" t="inlineStr">
        <x:is>
          <x:t xml:space="preserve">Text</x:t>
        </x:is>
      </x:c>
      <x:c r="D200" s="21" t="inlineStr">
        <x:is>
          <x:t xml:space="preserve">Yes</x:t>
        </x:is>
      </x:c>
      <x:c r="E200" s="20" t="inlineStr">
        <x:is>
          <x:t xml:space="preserve">Rule / threshold band</x:t>
        </x:is>
      </x:c>
      <x:c r="F200" s="20" t="inlineStr">
        <x:is>
          <x:t xml:space="preserve">&gt; Performance Materiality</x:t>
        </x:is>
      </x:c>
      <x:c r="G200" s="21" t="inlineStr">
        <x:is>
          <x:t xml:space="preserve">SAMPLING_RULES</x:t>
        </x:is>
      </x:c>
    </x:row>
    <x:row r="201">
      <x:c r="A201" s="20" t="inlineStr">
        <x:is>
          <x:t xml:space="preserve">Sampling_Rules</x:t>
        </x:is>
      </x:c>
      <x:c r="B201" s="20" t="inlineStr">
        <x:is>
          <x:t xml:space="preserve">Sample_Size_Min</x:t>
        </x:is>
      </x:c>
      <x:c r="C201" s="21" t="inlineStr">
        <x:is>
          <x:t xml:space="preserve">Number</x:t>
        </x:is>
      </x:c>
      <x:c r="D201" s="21" t="inlineStr">
        <x:is>
          <x:t xml:space="preserve">Yes</x:t>
        </x:is>
      </x:c>
      <x:c r="E201" s="20" t="inlineStr">
        <x:is>
          <x:t xml:space="preserve">Minimum sample size</x:t>
        </x:is>
      </x:c>
      <x:c r="F201" s="20" t="inlineStr">
        <x:is>
          <x:t xml:space="preserve">25</x:t>
        </x:is>
      </x:c>
      <x:c r="G201" s="21" t="inlineStr">
        <x:is>
          <x:t xml:space="preserve">SAMPLING_RULES</x:t>
        </x:is>
      </x:c>
    </x:row>
    <x:row r="202">
      <x:c r="A202" s="20" t="inlineStr">
        <x:is>
          <x:t xml:space="preserve">Sampling_Rules</x:t>
        </x:is>
      </x:c>
      <x:c r="B202" s="20" t="inlineStr">
        <x:is>
          <x:t xml:space="preserve">Sample_Size_Max</x:t>
        </x:is>
      </x:c>
      <x:c r="C202" s="21" t="inlineStr">
        <x:is>
          <x:t xml:space="preserve">Number</x:t>
        </x:is>
      </x:c>
      <x:c r="D202" s="21" t="inlineStr">
        <x:is>
          <x:t xml:space="preserve">Yes</x:t>
        </x:is>
      </x:c>
      <x:c r="E202" s="20" t="inlineStr">
        <x:is>
          <x:t xml:space="preserve">Maximum sample size</x:t>
        </x:is>
      </x:c>
      <x:c r="F202" s="20" t="inlineStr">
        <x:is>
          <x:t xml:space="preserve">60</x:t>
        </x:is>
      </x:c>
      <x:c r="G202" s="21" t="inlineStr">
        <x:is>
          <x:t xml:space="preserve">SAMPLING_RULES</x:t>
        </x:is>
      </x:c>
    </x:row>
    <x:row r="203">
      <x:c r="A203" s="20" t="inlineStr">
        <x:is>
          <x:t xml:space="preserve">Sampling_Rules</x:t>
        </x:is>
      </x:c>
      <x:c r="B203" s="20" t="inlineStr">
        <x:is>
          <x:t xml:space="preserve">Coverage_Target</x:t>
        </x:is>
      </x:c>
      <x:c r="C203" s="21" t="inlineStr">
        <x:is>
          <x:t xml:space="preserve">Text</x:t>
        </x:is>
      </x:c>
      <x:c r="D203" s="21" t="inlineStr">
        <x:is>
          <x:t xml:space="preserve">Yes</x:t>
        </x:is>
      </x:c>
      <x:c r="E203" s="20" t="inlineStr">
        <x:is>
          <x:t xml:space="preserve">Coverage target</x:t>
        </x:is>
      </x:c>
      <x:c r="F203" s="20" t="inlineStr">
        <x:is>
          <x:t xml:space="preserve">60%-100%</x:t>
        </x:is>
      </x:c>
      <x:c r="G203" s="21" t="inlineStr">
        <x:is>
          <x:t xml:space="preserve">SAMPLING_RULES</x:t>
        </x:is>
      </x:c>
    </x:row>
    <x:row r="204">
      <x:c r="A204" s="20" t="inlineStr">
        <x:is>
          <x:t xml:space="preserve">Sampling_Rules</x:t>
        </x:is>
      </x:c>
      <x:c r="B204" s="20" t="inlineStr">
        <x:is>
          <x:t xml:space="preserve">Sampling_Method_Default</x:t>
        </x:is>
      </x:c>
      <x:c r="C204" s="21" t="inlineStr">
        <x:is>
          <x:t xml:space="preserve">Dropdown:Sampling_Method</x:t>
        </x:is>
      </x:c>
      <x:c r="D204" s="21" t="inlineStr">
        <x:is>
          <x:t xml:space="preserve">Yes</x:t>
        </x:is>
      </x:c>
      <x:c r="E204" s="20" t="inlineStr">
        <x:is>
          <x:t xml:space="preserve">Default method</x:t>
        </x:is>
      </x:c>
      <x:c r="F204" s="20" t="inlineStr">
        <x:is>
          <x:t xml:space="preserve">100% Testing</x:t>
        </x:is>
      </x:c>
      <x:c r="G204" s="21" t="inlineStr">
        <x:is>
          <x:t xml:space="preserve">SAMPLING_RULES</x:t>
        </x:is>
      </x:c>
    </x:row>
    <x:row r="205">
      <x:c r="A205" s="20" t="inlineStr">
        <x:is>
          <x:t xml:space="preserve">Sampling_Rules</x:t>
        </x:is>
      </x:c>
      <x:c r="B205" s="20" t="inlineStr">
        <x:is>
          <x:t xml:space="preserve">Notes</x:t>
        </x:is>
      </x:c>
      <x:c r="C205" s="21" t="inlineStr">
        <x:is>
          <x:t xml:space="preserve">Text</x:t>
        </x:is>
      </x:c>
      <x:c r="D205" s="21" t="inlineStr">
        <x:is>
          <x:t xml:space="preserve">No</x:t>
        </x:is>
      </x:c>
      <x:c r="E205" s="20" t="inlineStr">
        <x:is>
          <x:t xml:space="preserve">Notes</x:t>
        </x:is>
      </x:c>
      <x:c r="F205" s="20" t="inlineStr">
        <x:is>
          <x:t xml:space="preserve"/>
        </x:is>
      </x:c>
      <x:c r="G205" s="21" t="inlineStr">
        <x:is>
          <x:t xml:space="preserve">SAMPLING_RULES</x:t>
        </x:is>
      </x:c>
    </x:row>
    <x:row r="206">
      <x:c r="A206" s="20" t="inlineStr">
        <x:is>
          <x:t xml:space="preserve">Analytics_Engine</x:t>
        </x:is>
      </x:c>
      <x:c r="B206" s="20" t="inlineStr">
        <x:is>
          <x:t xml:space="preserve">Ratio_or_Test</x:t>
        </x:is>
      </x:c>
      <x:c r="C206" s="21" t="inlineStr">
        <x:is>
          <x:t xml:space="preserve">Text</x:t>
        </x:is>
      </x:c>
      <x:c r="D206" s="21" t="inlineStr">
        <x:is>
          <x:t xml:space="preserve">Yes</x:t>
        </x:is>
      </x:c>
      <x:c r="E206" s="20" t="inlineStr">
        <x:is>
          <x:t xml:space="preserve">Analytical ratio / test</x:t>
        </x:is>
      </x:c>
      <x:c r="F206" s="20" t="inlineStr">
        <x:is>
          <x:t xml:space="preserve">Gross Profit %</x:t>
        </x:is>
      </x:c>
      <x:c r="G206" s="21" t="inlineStr">
        <x:is>
          <x:t xml:space="preserve">ANALYTICS_ENGINE</x:t>
        </x:is>
      </x:c>
    </x:row>
    <x:row r="207">
      <x:c r="A207" s="20" t="inlineStr">
        <x:is>
          <x:t xml:space="preserve">Analytics_Engine</x:t>
        </x:is>
      </x:c>
      <x:c r="B207" s="20" t="inlineStr">
        <x:is>
          <x:t xml:space="preserve">Formula_Text</x:t>
        </x:is>
      </x:c>
      <x:c r="C207" s="21" t="inlineStr">
        <x:is>
          <x:t xml:space="preserve">Text</x:t>
        </x:is>
      </x:c>
      <x:c r="D207" s="21" t="inlineStr">
        <x:is>
          <x:t xml:space="preserve">Yes</x:t>
        </x:is>
      </x:c>
      <x:c r="E207" s="20" t="inlineStr">
        <x:is>
          <x:t xml:space="preserve">Human readable formula</x:t>
        </x:is>
      </x:c>
      <x:c r="F207" s="20" t="inlineStr">
        <x:is>
          <x:t xml:space="preserve">(Revenue - Cost of Sales) / Revenue</x:t>
        </x:is>
      </x:c>
      <x:c r="G207" s="21" t="inlineStr">
        <x:is>
          <x:t xml:space="preserve">ANALYTICS_ENGINE</x:t>
        </x:is>
      </x:c>
    </x:row>
    <x:row r="208">
      <x:c r="A208" s="20" t="inlineStr">
        <x:is>
          <x:t xml:space="preserve">Analytics_Engine</x:t>
        </x:is>
      </x:c>
      <x:c r="B208" s="20" t="inlineStr">
        <x:is>
          <x:t xml:space="preserve">Threshold</x:t>
        </x:is>
      </x:c>
      <x:c r="C208" s="21" t="inlineStr">
        <x:is>
          <x:t xml:space="preserve">Text</x:t>
        </x:is>
      </x:c>
      <x:c r="D208" s="21" t="inlineStr">
        <x:is>
          <x:t xml:space="preserve">Yes</x:t>
        </x:is>
      </x:c>
      <x:c r="E208" s="20" t="inlineStr">
        <x:is>
          <x:t xml:space="preserve">Alert threshold</x:t>
        </x:is>
      </x:c>
      <x:c r="F208" s="20" t="inlineStr">
        <x:is>
          <x:t xml:space="preserve">Variance &gt; 10% year-on-year</x:t>
        </x:is>
      </x:c>
      <x:c r="G208" s="21" t="inlineStr">
        <x:is>
          <x:t xml:space="preserve">ANALYTICS_ENGINE</x:t>
        </x:is>
      </x:c>
    </x:row>
    <x:row r="209">
      <x:c r="A209" s="20" t="inlineStr">
        <x:is>
          <x:t xml:space="preserve">Analytics_Engine</x:t>
        </x:is>
      </x:c>
      <x:c r="B209" s="20" t="inlineStr">
        <x:is>
          <x:t xml:space="preserve">WP_Trigger</x:t>
        </x:is>
      </x:c>
      <x:c r="C209" s="21" t="inlineStr">
        <x:is>
          <x:t xml:space="preserve">Text</x:t>
        </x:is>
      </x:c>
      <x:c r="D209" s="21" t="inlineStr">
        <x:is>
          <x:t xml:space="preserve">Yes</x:t>
        </x:is>
      </x:c>
      <x:c r="E209" s="20" t="inlineStr">
        <x:is>
          <x:t xml:space="preserve">Triggered workpaper</x:t>
        </x:is>
      </x:c>
      <x:c r="F209" s="20" t="inlineStr">
        <x:is>
          <x:t xml:space="preserve">C2 Analytical Review</x:t>
        </x:is>
      </x:c>
      <x:c r="G209" s="21" t="inlineStr">
        <x:is>
          <x:t xml:space="preserve">ANALYTICS_ENGINE</x:t>
        </x:is>
      </x:c>
    </x:row>
    <x:row r="210">
      <x:c r="A210" s="20" t="inlineStr">
        <x:is>
          <x:t xml:space="preserve">Analytics_Engine</x:t>
        </x:is>
      </x:c>
      <x:c r="B210" s="20" t="inlineStr">
        <x:is>
          <x:t xml:space="preserve">Owner_Role</x:t>
        </x:is>
      </x:c>
      <x:c r="C210" s="21" t="inlineStr">
        <x:is>
          <x:t xml:space="preserve">Text</x:t>
        </x:is>
      </x:c>
      <x:c r="D210" s="21" t="inlineStr">
        <x:is>
          <x:t xml:space="preserve">No</x:t>
        </x:is>
      </x:c>
      <x:c r="E210" s="20" t="inlineStr">
        <x:is>
          <x:t xml:space="preserve">Responsible role</x:t>
        </x:is>
      </x:c>
      <x:c r="F210" s="20" t="inlineStr">
        <x:is>
          <x:t xml:space="preserve">Senior</x:t>
        </x:is>
      </x:c>
      <x:c r="G210" s="21" t="inlineStr">
        <x:is>
          <x:t xml:space="preserve">ANALYTICS_ENGINE</x:t>
        </x:is>
      </x:c>
    </x:row>
    <x:row r="211">
      <x:c r="A211" s="20" t="inlineStr">
        <x:is>
          <x:t xml:space="preserve">Analytics_Engine</x:t>
        </x:is>
      </x:c>
      <x:c r="B211" s="20" t="inlineStr">
        <x:is>
          <x:t xml:space="preserve">Notes</x:t>
        </x:is>
      </x:c>
      <x:c r="C211" s="21" t="inlineStr">
        <x:is>
          <x:t xml:space="preserve">Text</x:t>
        </x:is>
      </x:c>
      <x:c r="D211" s="21" t="inlineStr">
        <x:is>
          <x:t xml:space="preserve">No</x:t>
        </x:is>
      </x:c>
      <x:c r="E211" s="20" t="inlineStr">
        <x:is>
          <x:t xml:space="preserve">Notes</x:t>
        </x:is>
      </x:c>
      <x:c r="F211" s="20" t="inlineStr">
        <x:is>
          <x:t xml:space="preserve"/>
        </x:is>
      </x:c>
      <x:c r="G211" s="21" t="inlineStr">
        <x:is>
          <x:t xml:space="preserve">ANALYTICS_ENGINE</x:t>
        </x:is>
      </x:c>
    </x:row>
    <x:row r="212">
      <x:c r="A212" s="20" t="inlineStr">
        <x:is>
          <x:t xml:space="preserve">Control_Matrix</x:t>
        </x:is>
      </x:c>
      <x:c r="B212" s="20" t="inlineStr">
        <x:is>
          <x:t xml:space="preserve">Process</x:t>
        </x:is>
      </x:c>
      <x:c r="C212" s="21" t="inlineStr">
        <x:is>
          <x:t xml:space="preserve">Text</x:t>
        </x:is>
      </x:c>
      <x:c r="D212" s="21" t="inlineStr">
        <x:is>
          <x:t xml:space="preserve">Yes</x:t>
        </x:is>
      </x:c>
      <x:c r="E212" s="20" t="inlineStr">
        <x:is>
          <x:t xml:space="preserve">Process area</x:t>
        </x:is>
      </x:c>
      <x:c r="F212" s="20" t="inlineStr">
        <x:is>
          <x:t xml:space="preserve">Sales</x:t>
        </x:is>
      </x:c>
      <x:c r="G212" s="21" t="inlineStr">
        <x:is>
          <x:t xml:space="preserve">CONTROL_MATRIX</x:t>
        </x:is>
      </x:c>
    </x:row>
    <x:row r="213">
      <x:c r="A213" s="20" t="inlineStr">
        <x:is>
          <x:t xml:space="preserve">Control_Matrix</x:t>
        </x:is>
      </x:c>
      <x:c r="B213" s="20" t="inlineStr">
        <x:is>
          <x:t xml:space="preserve">Control_ID</x:t>
        </x:is>
      </x:c>
      <x:c r="C213" s="21" t="inlineStr">
        <x:is>
          <x:t xml:space="preserve">Text</x:t>
        </x:is>
      </x:c>
      <x:c r="D213" s="21" t="inlineStr">
        <x:is>
          <x:t xml:space="preserve">Yes</x:t>
        </x:is>
      </x:c>
      <x:c r="E213" s="20" t="inlineStr">
        <x:is>
          <x:t xml:space="preserve">Unique control id</x:t>
        </x:is>
      </x:c>
      <x:c r="F213" s="20" t="inlineStr">
        <x:is>
          <x:t xml:space="preserve">CTRL-SAL-01</x:t>
        </x:is>
      </x:c>
      <x:c r="G213" s="21" t="inlineStr">
        <x:is>
          <x:t xml:space="preserve">CONTROL_MATRIX</x:t>
        </x:is>
      </x:c>
    </x:row>
    <x:row r="214">
      <x:c r="A214" s="20" t="inlineStr">
        <x:is>
          <x:t xml:space="preserve">Control_Matrix</x:t>
        </x:is>
      </x:c>
      <x:c r="B214" s="20" t="inlineStr">
        <x:is>
          <x:t xml:space="preserve">Control_Description</x:t>
        </x:is>
      </x:c>
      <x:c r="C214" s="21" t="inlineStr">
        <x:is>
          <x:t xml:space="preserve">Text</x:t>
        </x:is>
      </x:c>
      <x:c r="D214" s="21" t="inlineStr">
        <x:is>
          <x:t xml:space="preserve">Yes</x:t>
        </x:is>
      </x:c>
      <x:c r="E214" s="20" t="inlineStr">
        <x:is>
          <x:t xml:space="preserve">Description</x:t>
        </x:is>
      </x:c>
      <x:c r="F214" s="20" t="inlineStr">
        <x:is>
          <x:t xml:space="preserve">Sales invoices approved before dispatch</x:t>
        </x:is>
      </x:c>
      <x:c r="G214" s="21" t="inlineStr">
        <x:is>
          <x:t xml:space="preserve">CONTROL_MATRIX</x:t>
        </x:is>
      </x:c>
    </x:row>
    <x:row r="215">
      <x:c r="A215" s="20" t="inlineStr">
        <x:is>
          <x:t xml:space="preserve">Control_Matrix</x:t>
        </x:is>
      </x:c>
      <x:c r="B215" s="20" t="inlineStr">
        <x:is>
          <x:t xml:space="preserve">Frequency</x:t>
        </x:is>
      </x:c>
      <x:c r="C215" s="21" t="inlineStr">
        <x:is>
          <x:t xml:space="preserve">Dropdown:Frequency</x:t>
        </x:is>
      </x:c>
      <x:c r="D215" s="21" t="inlineStr">
        <x:is>
          <x:t xml:space="preserve">Yes</x:t>
        </x:is>
      </x:c>
      <x:c r="E215" s="20" t="inlineStr">
        <x:is>
          <x:t xml:space="preserve">Performance frequency</x:t>
        </x:is>
      </x:c>
      <x:c r="F215" s="20" t="inlineStr">
        <x:is>
          <x:t xml:space="preserve">Daily</x:t>
        </x:is>
      </x:c>
      <x:c r="G215" s="21" t="inlineStr">
        <x:is>
          <x:t xml:space="preserve">CONTROL_MATRIX</x:t>
        </x:is>
      </x:c>
    </x:row>
    <x:row r="216">
      <x:c r="A216" s="20" t="inlineStr">
        <x:is>
          <x:t xml:space="preserve">Control_Matrix</x:t>
        </x:is>
      </x:c>
      <x:c r="B216" s="20" t="inlineStr">
        <x:is>
          <x:t xml:space="preserve">Control_Owner</x:t>
        </x:is>
      </x:c>
      <x:c r="C216" s="21" t="inlineStr">
        <x:is>
          <x:t xml:space="preserve">Text</x:t>
        </x:is>
      </x:c>
      <x:c r="D216" s="21" t="inlineStr">
        <x:is>
          <x:t xml:space="preserve">No</x:t>
        </x:is>
      </x:c>
      <x:c r="E216" s="20" t="inlineStr">
        <x:is>
          <x:t xml:space="preserve">Owner</x:t>
        </x:is>
      </x:c>
      <x:c r="F216" s="20" t="inlineStr">
        <x:is>
          <x:t xml:space="preserve">Sales Manager</x:t>
        </x:is>
      </x:c>
      <x:c r="G216" s="21" t="inlineStr">
        <x:is>
          <x:t xml:space="preserve">CONTROL_MATRIX</x:t>
        </x:is>
      </x:c>
    </x:row>
    <x:row r="217">
      <x:c r="A217" s="20" t="inlineStr">
        <x:is>
          <x:t xml:space="preserve">Control_Matrix</x:t>
        </x:is>
      </x:c>
      <x:c r="B217" s="20" t="inlineStr">
        <x:is>
          <x:t xml:space="preserve">Test_Type</x:t>
        </x:is>
      </x:c>
      <x:c r="C217" s="21" t="inlineStr">
        <x:is>
          <x:t xml:space="preserve">Dropdown:Test_Type</x:t>
        </x:is>
      </x:c>
      <x:c r="D217" s="21" t="inlineStr">
        <x:is>
          <x:t xml:space="preserve">Yes</x:t>
        </x:is>
      </x:c>
      <x:c r="E217" s="20" t="inlineStr">
        <x:is>
          <x:t xml:space="preserve">Testing type</x:t>
        </x:is>
      </x:c>
      <x:c r="F217" s="20" t="inlineStr">
        <x:is>
          <x:t xml:space="preserve">ToC</x:t>
        </x:is>
      </x:c>
      <x:c r="G217" s="21" t="inlineStr">
        <x:is>
          <x:t xml:space="preserve">CONTROL_MATRIX</x:t>
        </x:is>
      </x:c>
    </x:row>
    <x:row r="218">
      <x:c r="A218" s="20" t="inlineStr">
        <x:is>
          <x:t xml:space="preserve">Control_Matrix</x:t>
        </x:is>
      </x:c>
      <x:c r="B218" s="20" t="inlineStr">
        <x:is>
          <x:t xml:space="preserve">Population_Source</x:t>
        </x:is>
      </x:c>
      <x:c r="C218" s="21" t="inlineStr">
        <x:is>
          <x:t xml:space="preserve">Text</x:t>
        </x:is>
      </x:c>
      <x:c r="D218" s="21" t="inlineStr">
        <x:is>
          <x:t xml:space="preserve">No</x:t>
        </x:is>
      </x:c>
      <x:c r="E218" s="20" t="inlineStr">
        <x:is>
          <x:t xml:space="preserve">Source of population</x:t>
        </x:is>
      </x:c>
      <x:c r="F218" s="20" t="inlineStr">
        <x:is>
          <x:t xml:space="preserve">ERP Sales Register</x:t>
        </x:is>
      </x:c>
      <x:c r="G218" s="21" t="inlineStr">
        <x:is>
          <x:t xml:space="preserve">CONTROL_MATRIX</x:t>
        </x:is>
      </x:c>
    </x:row>
    <x:row r="219">
      <x:c r="A219" s="20" t="inlineStr">
        <x:is>
          <x:t xml:space="preserve">Control_Matrix</x:t>
        </x:is>
      </x:c>
      <x:c r="B219" s="20" t="inlineStr">
        <x:is>
          <x:t xml:space="preserve">Key_Control_Flag</x:t>
        </x:is>
      </x:c>
      <x:c r="C219" s="21" t="inlineStr">
        <x:is>
          <x:t xml:space="preserve">Dropdown:YesNo</x:t>
        </x:is>
      </x:c>
      <x:c r="D219" s="21" t="inlineStr">
        <x:is>
          <x:t xml:space="preserve">Yes</x:t>
        </x:is>
      </x:c>
      <x:c r="E219" s="20" t="inlineStr">
        <x:is>
          <x:t xml:space="preserve">Is key control</x:t>
        </x:is>
      </x:c>
      <x:c r="F219" s="20" t="inlineStr">
        <x:is>
          <x:t xml:space="preserve">Yes</x:t>
        </x:is>
      </x:c>
      <x:c r="G219" s="21" t="inlineStr">
        <x:is>
          <x:t xml:space="preserve">CONTROL_MATRIX</x:t>
        </x:is>
      </x:c>
    </x:row>
    <x:row r="220">
      <x:c r="A220" s="20" t="inlineStr">
        <x:is>
          <x:t xml:space="preserve">Control_Matrix</x:t>
        </x:is>
      </x:c>
      <x:c r="B220" s="20" t="inlineStr">
        <x:is>
          <x:t xml:space="preserve">Design_Effective</x:t>
        </x:is>
      </x:c>
      <x:c r="C220" s="21" t="inlineStr">
        <x:is>
          <x:t xml:space="preserve">Dropdown:Review_Result</x:t>
        </x:is>
      </x:c>
      <x:c r="D220" s="21" t="inlineStr">
        <x:is>
          <x:t xml:space="preserve">Yes</x:t>
        </x:is>
      </x:c>
      <x:c r="E220" s="20" t="inlineStr">
        <x:is>
          <x:t xml:space="preserve">Design conclusion</x:t>
        </x:is>
      </x:c>
      <x:c r="F220" s="20" t="inlineStr">
        <x:is>
          <x:t xml:space="preserve">Pass</x:t>
        </x:is>
      </x:c>
      <x:c r="G220" s="21" t="inlineStr">
        <x:is>
          <x:t xml:space="preserve">CONTROL_MATRIX</x:t>
        </x:is>
      </x:c>
    </x:row>
    <x:row r="221">
      <x:c r="A221" s="20" t="inlineStr">
        <x:is>
          <x:t xml:space="preserve">Control_Matrix</x:t>
        </x:is>
      </x:c>
      <x:c r="B221" s="20" t="inlineStr">
        <x:is>
          <x:t xml:space="preserve">Operating_Effective</x:t>
        </x:is>
      </x:c>
      <x:c r="C221" s="21" t="inlineStr">
        <x:is>
          <x:t xml:space="preserve">Dropdown:Review_Result</x:t>
        </x:is>
      </x:c>
      <x:c r="D221" s="21" t="inlineStr">
        <x:is>
          <x:t xml:space="preserve">Yes</x:t>
        </x:is>
      </x:c>
      <x:c r="E221" s="20" t="inlineStr">
        <x:is>
          <x:t xml:space="preserve">Operating conclusion</x:t>
        </x:is>
      </x:c>
      <x:c r="F221" s="20" t="inlineStr">
        <x:is>
          <x:t xml:space="preserve">N/A</x:t>
        </x:is>
      </x:c>
      <x:c r="G221" s="21" t="inlineStr">
        <x:is>
          <x:t xml:space="preserve">CONTROL_MATRIX</x:t>
        </x:is>
      </x:c>
    </x:row>
    <x:row r="222">
      <x:c r="A222" s="20" t="inlineStr">
        <x:is>
          <x:t xml:space="preserve">Control_Matrix</x:t>
        </x:is>
      </x:c>
      <x:c r="B222" s="20" t="inlineStr">
        <x:is>
          <x:t xml:space="preserve">Notes</x:t>
        </x:is>
      </x:c>
      <x:c r="C222" s="21" t="inlineStr">
        <x:is>
          <x:t xml:space="preserve">Text</x:t>
        </x:is>
      </x:c>
      <x:c r="D222" s="21" t="inlineStr">
        <x:is>
          <x:t xml:space="preserve">No</x:t>
        </x:is>
      </x:c>
      <x:c r="E222" s="20" t="inlineStr">
        <x:is>
          <x:t xml:space="preserve">Notes</x:t>
        </x:is>
      </x:c>
      <x:c r="F222" s="20" t="inlineStr">
        <x:is>
          <x:t xml:space="preserve"/>
        </x:is>
      </x:c>
      <x:c r="G222" s="21" t="inlineStr">
        <x:is>
          <x:t xml:space="preserve">CONTROL_MATRIX</x:t>
        </x:is>
      </x:c>
    </x:row>
    <x:row r="223">
      <x:c r="A223" s="20" t="inlineStr">
        <x:is>
          <x:t xml:space="preserve">Evidence_Log</x:t>
        </x:is>
      </x:c>
      <x:c r="B223" s="20" t="inlineStr">
        <x:is>
          <x:t xml:space="preserve">Evidence_ID</x:t>
        </x:is>
      </x:c>
      <x:c r="C223" s="21" t="inlineStr">
        <x:is>
          <x:t xml:space="preserve">Text</x:t>
        </x:is>
      </x:c>
      <x:c r="D223" s="21" t="inlineStr">
        <x:is>
          <x:t xml:space="preserve">Yes</x:t>
        </x:is>
      </x:c>
      <x:c r="E223" s="20" t="inlineStr">
        <x:is>
          <x:t xml:space="preserve">Unique evidence id</x:t>
        </x:is>
      </x:c>
      <x:c r="F223" s="20" t="inlineStr">
        <x:is>
          <x:t xml:space="preserve">EVD-0001</x:t>
        </x:is>
      </x:c>
      <x:c r="G223" s="21" t="inlineStr">
        <x:is>
          <x:t xml:space="preserve">EVIDENCE_LOG</x:t>
        </x:is>
      </x:c>
    </x:row>
    <x:row r="224">
      <x:c r="A224" s="20" t="inlineStr">
        <x:is>
          <x:t xml:space="preserve">Evidence_Log</x:t>
        </x:is>
      </x:c>
      <x:c r="B224" s="20" t="inlineStr">
        <x:is>
          <x:t xml:space="preserve">Engagement_ID</x:t>
        </x:is>
      </x:c>
      <x:c r="C224" s="21" t="inlineStr">
        <x:is>
          <x:t xml:space="preserve">Text</x:t>
        </x:is>
      </x:c>
      <x:c r="D224" s="21" t="inlineStr">
        <x:is>
          <x:t xml:space="preserve">Yes</x:t>
        </x:is>
      </x:c>
      <x:c r="E224" s="20" t="inlineStr">
        <x:is>
          <x:t xml:space="preserve">Engagement reference</x:t>
        </x:is>
      </x:c>
      <x:c r="F224" s="20" t="inlineStr">
        <x:is>
          <x:t xml:space="preserve">ENG-001</x:t>
        </x:is>
      </x:c>
      <x:c r="G224" s="21" t="inlineStr">
        <x:is>
          <x:t xml:space="preserve">EVIDENCE_LOG</x:t>
        </x:is>
      </x:c>
    </x:row>
    <x:row r="225">
      <x:c r="A225" s="20" t="inlineStr">
        <x:is>
          <x:t xml:space="preserve">Evidence_Log</x:t>
        </x:is>
      </x:c>
      <x:c r="B225" s="20" t="inlineStr">
        <x:is>
          <x:t xml:space="preserve">WP_Code</x:t>
        </x:is>
      </x:c>
      <x:c r="C225" s="21" t="inlineStr">
        <x:is>
          <x:t xml:space="preserve">Text</x:t>
        </x:is>
      </x:c>
      <x:c r="D225" s="21" t="inlineStr">
        <x:is>
          <x:t xml:space="preserve">Yes</x:t>
        </x:is>
      </x:c>
      <x:c r="E225" s="20" t="inlineStr">
        <x:is>
          <x:t xml:space="preserve">Linked workpaper</x:t>
        </x:is>
      </x:c>
      <x:c r="F225" s="20" t="inlineStr">
        <x:is>
          <x:t xml:space="preserve">AR-01</x:t>
        </x:is>
      </x:c>
      <x:c r="G225" s="21" t="inlineStr">
        <x:is>
          <x:t xml:space="preserve">EVIDENCE_LOG</x:t>
        </x:is>
      </x:c>
    </x:row>
    <x:row r="226">
      <x:c r="A226" s="20" t="inlineStr">
        <x:is>
          <x:t xml:space="preserve">Evidence_Log</x:t>
        </x:is>
      </x:c>
      <x:c r="B226" s="20" t="inlineStr">
        <x:is>
          <x:t xml:space="preserve">Document_Type</x:t>
        </x:is>
      </x:c>
      <x:c r="C226" s="21" t="inlineStr">
        <x:is>
          <x:t xml:space="preserve">Text</x:t>
        </x:is>
      </x:c>
      <x:c r="D226" s="21" t="inlineStr">
        <x:is>
          <x:t xml:space="preserve">Yes</x:t>
        </x:is>
      </x:c>
      <x:c r="E226" s="20" t="inlineStr">
        <x:is>
          <x:t xml:space="preserve">Invoice / contract / statement / confirmation</x:t>
        </x:is>
      </x:c>
      <x:c r="F226" s="20" t="inlineStr">
        <x:is>
          <x:t xml:space="preserve">Customer Statement</x:t>
        </x:is>
      </x:c>
      <x:c r="G226" s="21" t="inlineStr">
        <x:is>
          <x:t xml:space="preserve">EVIDENCE_LOG</x:t>
        </x:is>
      </x:c>
    </x:row>
    <x:row r="227">
      <x:c r="A227" s="20" t="inlineStr">
        <x:is>
          <x:t xml:space="preserve">Evidence_Log</x:t>
        </x:is>
      </x:c>
      <x:c r="B227" s="20" t="inlineStr">
        <x:is>
          <x:t xml:space="preserve">Source</x:t>
        </x:is>
      </x:c>
      <x:c r="C227" s="21" t="inlineStr">
        <x:is>
          <x:t xml:space="preserve">Text</x:t>
        </x:is>
      </x:c>
      <x:c r="D227" s="21" t="inlineStr">
        <x:is>
          <x:t xml:space="preserve">Yes</x:t>
        </x:is>
      </x:c>
      <x:c r="E227" s="20" t="inlineStr">
        <x:is>
          <x:t xml:space="preserve">Client / external / public / system</x:t>
        </x:is>
      </x:c>
      <x:c r="F227" s="20" t="inlineStr">
        <x:is>
          <x:t xml:space="preserve">Client</x:t>
        </x:is>
      </x:c>
      <x:c r="G227" s="21" t="inlineStr">
        <x:is>
          <x:t xml:space="preserve">EVIDENCE_LOG</x:t>
        </x:is>
      </x:c>
    </x:row>
    <x:row r="228">
      <x:c r="A228" s="20" t="inlineStr">
        <x:is>
          <x:t xml:space="preserve">Evidence_Log</x:t>
        </x:is>
      </x:c>
      <x:c r="B228" s="20" t="inlineStr">
        <x:is>
          <x:t xml:space="preserve">Document_Reference</x:t>
        </x:is>
      </x:c>
      <x:c r="C228" s="21" t="inlineStr">
        <x:is>
          <x:t xml:space="preserve">Text</x:t>
        </x:is>
      </x:c>
      <x:c r="D228" s="21" t="inlineStr">
        <x:is>
          <x:t xml:space="preserve">Yes</x:t>
        </x:is>
      </x:c>
      <x:c r="E228" s="20" t="inlineStr">
        <x:is>
          <x:t xml:space="preserve">File name or path</x:t>
        </x:is>
      </x:c>
      <x:c r="F228" s="20" t="inlineStr">
        <x:is>
          <x:t xml:space="preserve">/evidence/customer_statement_A.pdf</x:t>
        </x:is>
      </x:c>
      <x:c r="G228" s="21" t="inlineStr">
        <x:is>
          <x:t xml:space="preserve">EVIDENCE_LOG</x:t>
        </x:is>
      </x:c>
    </x:row>
    <x:row r="229">
      <x:c r="A229" s="20" t="inlineStr">
        <x:is>
          <x:t xml:space="preserve">Evidence_Log</x:t>
        </x:is>
      </x:c>
      <x:c r="B229" s="20" t="inlineStr">
        <x:is>
          <x:t xml:space="preserve">Received_Date</x:t>
        </x:is>
      </x:c>
      <x:c r="C229" s="21" t="inlineStr">
        <x:is>
          <x:t xml:space="preserve">Date</x:t>
        </x:is>
      </x:c>
      <x:c r="D229" s="21" t="inlineStr">
        <x:is>
          <x:t xml:space="preserve">No</x:t>
        </x:is>
      </x:c>
      <x:c r="E229" s="20" t="inlineStr">
        <x:is>
          <x:t xml:space="preserve">Receipt date</x:t>
        </x:is>
      </x:c>
      <x:c r="F229" s="20" t="inlineStr">
        <x:is>
          <x:t xml:space="preserve">2026-04-04</x:t>
        </x:is>
      </x:c>
      <x:c r="G229" s="21" t="inlineStr">
        <x:is>
          <x:t xml:space="preserve">EVIDENCE_LOG</x:t>
        </x:is>
      </x:c>
    </x:row>
    <x:row r="230">
      <x:c r="A230" s="20" t="inlineStr">
        <x:is>
          <x:t xml:space="preserve">Evidence_Log</x:t>
        </x:is>
      </x:c>
      <x:c r="B230" s="20" t="inlineStr">
        <x:is>
          <x:t xml:space="preserve">Verified_Flag</x:t>
        </x:is>
      </x:c>
      <x:c r="C230" s="21" t="inlineStr">
        <x:is>
          <x:t xml:space="preserve">Dropdown:YesNo</x:t>
        </x:is>
      </x:c>
      <x:c r="D230" s="21" t="inlineStr">
        <x:is>
          <x:t xml:space="preserve">Yes</x:t>
        </x:is>
      </x:c>
      <x:c r="E230" s="20" t="inlineStr">
        <x:is>
          <x:t xml:space="preserve">Verified by audit team</x:t>
        </x:is>
      </x:c>
      <x:c r="F230" s="20" t="inlineStr">
        <x:is>
          <x:t xml:space="preserve">Yes</x:t>
        </x:is>
      </x:c>
      <x:c r="G230" s="21" t="inlineStr">
        <x:is>
          <x:t xml:space="preserve">EVIDENCE_LOG</x:t>
        </x:is>
      </x:c>
    </x:row>
    <x:row r="231">
      <x:c r="A231" s="20" t="inlineStr">
        <x:is>
          <x:t xml:space="preserve">Evidence_Log</x:t>
        </x:is>
      </x:c>
      <x:c r="B231" s="20" t="inlineStr">
        <x:is>
          <x:t xml:space="preserve">Verification_Result</x:t>
        </x:is>
      </x:c>
      <x:c r="C231" s="21" t="inlineStr">
        <x:is>
          <x:t xml:space="preserve">Dropdown:Review_Result</x:t>
        </x:is>
      </x:c>
      <x:c r="D231" s="21" t="inlineStr">
        <x:is>
          <x:t xml:space="preserve">Yes</x:t>
        </x:is>
      </x:c>
      <x:c r="E231" s="20" t="inlineStr">
        <x:is>
          <x:t xml:space="preserve">Verification result</x:t>
        </x:is>
      </x:c>
      <x:c r="F231" s="20" t="inlineStr">
        <x:is>
          <x:t xml:space="preserve">Pass</x:t>
        </x:is>
      </x:c>
      <x:c r="G231" s="21" t="inlineStr">
        <x:is>
          <x:t xml:space="preserve">EVIDENCE_LOG</x:t>
        </x:is>
      </x:c>
    </x:row>
    <x:row r="232">
      <x:c r="A232" s="20" t="inlineStr">
        <x:is>
          <x:t xml:space="preserve">Evidence_Log</x:t>
        </x:is>
      </x:c>
      <x:c r="B232" s="20" t="inlineStr">
        <x:is>
          <x:t xml:space="preserve">Reviewer_Comment</x:t>
        </x:is>
      </x:c>
      <x:c r="C232" s="21" t="inlineStr">
        <x:is>
          <x:t xml:space="preserve">Text</x:t>
        </x:is>
      </x:c>
      <x:c r="D232" s="21" t="inlineStr">
        <x:is>
          <x:t xml:space="preserve">No</x:t>
        </x:is>
      </x:c>
      <x:c r="E232" s="20" t="inlineStr">
        <x:is>
          <x:t xml:space="preserve">Review note</x:t>
        </x:is>
      </x:c>
      <x:c r="F232" s="20" t="inlineStr">
        <x:is>
          <x:t xml:space="preserve"/>
        </x:is>
      </x:c>
      <x:c r="G232" s="21" t="inlineStr">
        <x:is>
          <x:t xml:space="preserve">EVIDENCE_LOG</x:t>
        </x:is>
      </x:c>
    </x:row>
    <x:row r="233">
      <x:c r="A233" s="20" t="inlineStr">
        <x:is>
          <x:t xml:space="preserve">Evidence_Log</x:t>
        </x:is>
      </x:c>
      <x:c r="B233" s="20" t="inlineStr">
        <x:is>
          <x:t xml:space="preserve">Prepared_By</x:t>
        </x:is>
      </x:c>
      <x:c r="C233" s="21" t="inlineStr">
        <x:is>
          <x:t xml:space="preserve">Text</x:t>
        </x:is>
      </x:c>
      <x:c r="D233" s="21" t="inlineStr">
        <x:is>
          <x:t xml:space="preserve">Yes</x:t>
        </x:is>
      </x:c>
      <x:c r="E233" s="20" t="inlineStr">
        <x:is>
          <x:t xml:space="preserve">Preparer</x:t>
        </x:is>
      </x:c>
      <x:c r="F233" s="20" t="inlineStr">
        <x:is>
          <x:t xml:space="preserve">Associate 1</x:t>
        </x:is>
      </x:c>
      <x:c r="G233" s="21" t="inlineStr">
        <x:is>
          <x:t xml:space="preserve">EVIDENCE_LOG</x:t>
        </x:is>
      </x:c>
    </x:row>
    <x:row r="234">
      <x:c r="A234" s="20" t="inlineStr">
        <x:is>
          <x:t xml:space="preserve">Evidence_Log</x:t>
        </x:is>
      </x:c>
      <x:c r="B234" s="20" t="inlineStr">
        <x:is>
          <x:t xml:space="preserve">Reviewed_By</x:t>
        </x:is>
      </x:c>
      <x:c r="C234" s="21" t="inlineStr">
        <x:is>
          <x:t xml:space="preserve">Text</x:t>
        </x:is>
      </x:c>
      <x:c r="D234" s="21" t="inlineStr">
        <x:is>
          <x:t xml:space="preserve">No</x:t>
        </x:is>
      </x:c>
      <x:c r="E234" s="20" t="inlineStr">
        <x:is>
          <x:t xml:space="preserve">Reviewer</x:t>
        </x:is>
      </x:c>
      <x:c r="F234" s="20" t="inlineStr">
        <x:is>
          <x:t xml:space="preserve">Manager 1</x:t>
        </x:is>
      </x:c>
      <x:c r="G234" s="21" t="inlineStr">
        <x:is>
          <x:t xml:space="preserve">EVIDENCE_LOG</x:t>
        </x:is>
      </x:c>
    </x:row>
    <x:row r="235">
      <x:c r="A235" s="20" t="inlineStr">
        <x:is>
          <x:t xml:space="preserve">Recon_Engine</x:t>
        </x:is>
      </x:c>
      <x:c r="B235" s="20" t="inlineStr">
        <x:is>
          <x:t xml:space="preserve">Check_ID</x:t>
        </x:is>
      </x:c>
      <x:c r="C235" s="21" t="inlineStr">
        <x:is>
          <x:t xml:space="preserve">Text</x:t>
        </x:is>
      </x:c>
      <x:c r="D235" s="21" t="inlineStr">
        <x:is>
          <x:t xml:space="preserve">Yes</x:t>
        </x:is>
      </x:c>
      <x:c r="E235" s="20" t="inlineStr">
        <x:is>
          <x:t xml:space="preserve">Unique check id</x:t>
        </x:is>
      </x:c>
      <x:c r="F235" s="20" t="inlineStr">
        <x:is>
          <x:t xml:space="preserve"/>
        </x:is>
      </x:c>
      <x:c r="G235" s="21" t="inlineStr">
        <x:is>
          <x:t xml:space="preserve">RECON_ENGINE</x:t>
        </x:is>
      </x:c>
    </x:row>
    <x:row r="236">
      <x:c r="A236" s="20" t="inlineStr">
        <x:is>
          <x:t xml:space="preserve">Recon_Engine</x:t>
        </x:is>
      </x:c>
      <x:c r="B236" s="20" t="inlineStr">
        <x:is>
          <x:t xml:space="preserve">Check_Name</x:t>
        </x:is>
      </x:c>
      <x:c r="C236" s="21" t="inlineStr">
        <x:is>
          <x:t xml:space="preserve">Text</x:t>
        </x:is>
      </x:c>
      <x:c r="D236" s="21" t="inlineStr">
        <x:is>
          <x:t xml:space="preserve">Yes</x:t>
        </x:is>
      </x:c>
      <x:c r="E236" s="20" t="inlineStr">
        <x:is>
          <x:t xml:space="preserve">Reconciliation / validation check</x:t>
        </x:is>
      </x:c>
      <x:c r="F236" s="20" t="inlineStr">
        <x:is>
          <x:t xml:space="preserve"/>
        </x:is>
      </x:c>
      <x:c r="G236" s="21" t="inlineStr">
        <x:is>
          <x:t xml:space="preserve">RECON_ENGINE</x:t>
        </x:is>
      </x:c>
    </x:row>
    <x:row r="237">
      <x:c r="A237" s="20" t="inlineStr">
        <x:is>
          <x:t xml:space="preserve">Recon_Engine</x:t>
        </x:is>
      </x:c>
      <x:c r="B237" s="20" t="inlineStr">
        <x:is>
          <x:t xml:space="preserve">Source_1_Value</x:t>
        </x:is>
      </x:c>
      <x:c r="C237" s="21" t="inlineStr">
        <x:is>
          <x:t xml:space="preserve">Formula</x:t>
        </x:is>
      </x:c>
      <x:c r="D237" s="21" t="inlineStr">
        <x:is>
          <x:t xml:space="preserve">Yes</x:t>
        </x:is>
      </x:c>
      <x:c r="E237" s="20" t="inlineStr">
        <x:is>
          <x:t xml:space="preserve">Source value 1</x:t>
        </x:is>
      </x:c>
      <x:c r="F237" s="20" t="inlineStr">
        <x:is>
          <x:t xml:space="preserve"/>
        </x:is>
      </x:c>
      <x:c r="G237" s="21" t="inlineStr">
        <x:is>
          <x:t xml:space="preserve">RECON_ENGINE</x:t>
        </x:is>
      </x:c>
    </x:row>
    <x:row r="238">
      <x:c r="A238" s="20" t="inlineStr">
        <x:is>
          <x:t xml:space="preserve">Recon_Engine</x:t>
        </x:is>
      </x:c>
      <x:c r="B238" s="20" t="inlineStr">
        <x:is>
          <x:t xml:space="preserve">Source_2_Value</x:t>
        </x:is>
      </x:c>
      <x:c r="C238" s="21" t="inlineStr">
        <x:is>
          <x:t xml:space="preserve">Formula</x:t>
        </x:is>
      </x:c>
      <x:c r="D238" s="21" t="inlineStr">
        <x:is>
          <x:t xml:space="preserve">Yes</x:t>
        </x:is>
      </x:c>
      <x:c r="E238" s="20" t="inlineStr">
        <x:is>
          <x:t xml:space="preserve">Source value 2</x:t>
        </x:is>
      </x:c>
      <x:c r="F238" s="20" t="inlineStr">
        <x:is>
          <x:t xml:space="preserve"/>
        </x:is>
      </x:c>
      <x:c r="G238" s="21" t="inlineStr">
        <x:is>
          <x:t xml:space="preserve">RECON_ENGINE</x:t>
        </x:is>
      </x:c>
    </x:row>
    <x:row r="239">
      <x:c r="A239" s="20" t="inlineStr">
        <x:is>
          <x:t xml:space="preserve">Recon_Engine</x:t>
        </x:is>
      </x:c>
      <x:c r="B239" s="20" t="inlineStr">
        <x:is>
          <x:t xml:space="preserve">Difference_or_Result</x:t>
        </x:is>
      </x:c>
      <x:c r="C239" s="21" t="inlineStr">
        <x:is>
          <x:t xml:space="preserve">Formula</x:t>
        </x:is>
      </x:c>
      <x:c r="D239" s="21" t="inlineStr">
        <x:is>
          <x:t xml:space="preserve">Yes</x:t>
        </x:is>
      </x:c>
      <x:c r="E239" s="20" t="inlineStr">
        <x:is>
          <x:t xml:space="preserve">Difference or count</x:t>
        </x:is>
      </x:c>
      <x:c r="F239" s="20" t="inlineStr">
        <x:is>
          <x:t xml:space="preserve"/>
        </x:is>
      </x:c>
      <x:c r="G239" s="21" t="inlineStr">
        <x:is>
          <x:t xml:space="preserve">RECON_ENGINE</x:t>
        </x:is>
      </x:c>
    </x:row>
    <x:row r="240">
      <x:c r="A240" s="20" t="inlineStr">
        <x:is>
          <x:t xml:space="preserve">Recon_Engine</x:t>
        </x:is>
      </x:c>
      <x:c r="B240" s="20" t="inlineStr">
        <x:is>
          <x:t xml:space="preserve">Status</x:t>
        </x:is>
      </x:c>
      <x:c r="C240" s="21" t="inlineStr">
        <x:is>
          <x:t xml:space="preserve">Formula</x:t>
        </x:is>
      </x:c>
      <x:c r="D240" s="21" t="inlineStr">
        <x:is>
          <x:t xml:space="preserve">Yes</x:t>
        </x:is>
      </x:c>
      <x:c r="E240" s="20" t="inlineStr">
        <x:is>
          <x:t xml:space="preserve">OK / CHECK</x:t>
        </x:is>
      </x:c>
      <x:c r="F240" s="20" t="inlineStr">
        <x:is>
          <x:t xml:space="preserve"/>
        </x:is>
      </x:c>
      <x:c r="G240" s="21" t="inlineStr">
        <x:is>
          <x:t xml:space="preserve">RECON_ENGINE</x:t>
        </x:is>
      </x:c>
    </x:row>
    <x:row r="241">
      <x:c r="A241" s="20" t="inlineStr">
        <x:is>
          <x:t xml:space="preserve">Recon_Engine</x:t>
        </x:is>
      </x:c>
      <x:c r="B241" s="20" t="inlineStr">
        <x:is>
          <x:t xml:space="preserve">Exception_Flag</x:t>
        </x:is>
      </x:c>
      <x:c r="C241" s="21" t="inlineStr">
        <x:is>
          <x:t xml:space="preserve">Formula</x:t>
        </x:is>
      </x:c>
      <x:c r="D241" s="21" t="inlineStr">
        <x:is>
          <x:t xml:space="preserve">Yes</x:t>
        </x:is>
      </x:c>
      <x:c r="E241" s="20" t="inlineStr">
        <x:is>
          <x:t xml:space="preserve">Yes / No</x:t>
        </x:is>
      </x:c>
      <x:c r="F241" s="20" t="inlineStr">
        <x:is>
          <x:t xml:space="preserve"/>
        </x:is>
      </x:c>
      <x:c r="G241" s="21" t="inlineStr">
        <x:is>
          <x:t xml:space="preserve">RECON_ENGINE</x:t>
        </x:is>
      </x:c>
    </x:row>
    <x:row r="242">
      <x:c r="A242" s="20" t="inlineStr">
        <x:is>
          <x:t xml:space="preserve">Recon_Engine</x:t>
        </x:is>
      </x:c>
      <x:c r="B242" s="20" t="inlineStr">
        <x:is>
          <x:t xml:space="preserve">Owner</x:t>
        </x:is>
      </x:c>
      <x:c r="C242" s="21" t="inlineStr">
        <x:is>
          <x:t xml:space="preserve">Text</x:t>
        </x:is>
      </x:c>
      <x:c r="D242" s="21" t="inlineStr">
        <x:is>
          <x:t xml:space="preserve">No</x:t>
        </x:is>
      </x:c>
      <x:c r="E242" s="20" t="inlineStr">
        <x:is>
          <x:t xml:space="preserve">Responsible owner</x:t>
        </x:is>
      </x:c>
      <x:c r="F242" s="20" t="inlineStr">
        <x:is>
          <x:t xml:space="preserve"/>
        </x:is>
      </x:c>
      <x:c r="G242" s="21" t="inlineStr">
        <x:is>
          <x:t xml:space="preserve">RECON_ENGINE</x:t>
        </x:is>
      </x:c>
    </x:row>
    <x:row r="243">
      <x:c r="A243" s="20" t="inlineStr">
        <x:is>
          <x:t xml:space="preserve">Recon_Engine</x:t>
        </x:is>
      </x:c>
      <x:c r="B243" s="20" t="inlineStr">
        <x:is>
          <x:t xml:space="preserve">Notes</x:t>
        </x:is>
      </x:c>
      <x:c r="C243" s="21" t="inlineStr">
        <x:is>
          <x:t xml:space="preserve">Text</x:t>
        </x:is>
      </x:c>
      <x:c r="D243" s="21" t="inlineStr">
        <x:is>
          <x:t xml:space="preserve">No</x:t>
        </x:is>
      </x:c>
      <x:c r="E243" s="20" t="inlineStr">
        <x:is>
          <x:t xml:space="preserve">Notes</x:t>
        </x:is>
      </x:c>
      <x:c r="F243" s="20" t="inlineStr">
        <x:is>
          <x:t xml:space="preserve"/>
        </x:is>
      </x:c>
      <x:c r="G243" s="21" t="inlineStr">
        <x:is>
          <x:t xml:space="preserve">RECON_ENGINE</x:t>
        </x:is>
      </x:c>
    </x:row>
    <x:row r="244">
      <x:c r="A244" s="20" t="inlineStr">
        <x:is>
          <x:t xml:space="preserve">WP_Index</x:t>
        </x:is>
      </x:c>
      <x:c r="B244" s="20" t="inlineStr">
        <x:is>
          <x:t xml:space="preserve">WP_Code</x:t>
        </x:is>
      </x:c>
      <x:c r="C244" s="21" t="inlineStr">
        <x:is>
          <x:t xml:space="preserve">Text</x:t>
        </x:is>
      </x:c>
      <x:c r="D244" s="21" t="inlineStr">
        <x:is>
          <x:t xml:space="preserve">Yes</x:t>
        </x:is>
      </x:c>
      <x:c r="E244" s="20" t="inlineStr">
        <x:is>
          <x:t xml:space="preserve">Working paper code</x:t>
        </x:is>
      </x:c>
      <x:c r="F244" s="20" t="inlineStr">
        <x:is>
          <x:t xml:space="preserve">A1</x:t>
        </x:is>
      </x:c>
      <x:c r="G244" s="21" t="inlineStr">
        <x:is>
          <x:t xml:space="preserve">WP_INDEX</x:t>
        </x:is>
      </x:c>
    </x:row>
    <x:row r="245">
      <x:c r="A245" s="20" t="inlineStr">
        <x:is>
          <x:t xml:space="preserve">WP_Index</x:t>
        </x:is>
      </x:c>
      <x:c r="B245" s="20" t="inlineStr">
        <x:is>
          <x:t xml:space="preserve">WP_Name</x:t>
        </x:is>
      </x:c>
      <x:c r="C245" s="21" t="inlineStr">
        <x:is>
          <x:t xml:space="preserve">Text</x:t>
        </x:is>
      </x:c>
      <x:c r="D245" s="21" t="inlineStr">
        <x:is>
          <x:t xml:space="preserve">Yes</x:t>
        </x:is>
      </x:c>
      <x:c r="E245" s="20" t="inlineStr">
        <x:is>
          <x:t xml:space="preserve">Working paper name</x:t>
        </x:is>
      </x:c>
      <x:c r="F245" s="20" t="inlineStr">
        <x:is>
          <x:t xml:space="preserve">Engagement Letter</x:t>
        </x:is>
      </x:c>
      <x:c r="G245" s="21" t="inlineStr">
        <x:is>
          <x:t xml:space="preserve">WP_INDEX</x:t>
        </x:is>
      </x:c>
    </x:row>
    <x:row r="246">
      <x:c r="A246" s="20" t="inlineStr">
        <x:is>
          <x:t xml:space="preserve">WP_Index</x:t>
        </x:is>
      </x:c>
      <x:c r="B246" s="20" t="inlineStr">
        <x:is>
          <x:t xml:space="preserve">Category</x:t>
        </x:is>
      </x:c>
      <x:c r="C246" s="21" t="inlineStr">
        <x:is>
          <x:t xml:space="preserve">Text</x:t>
        </x:is>
      </x:c>
      <x:c r="D246" s="21" t="inlineStr">
        <x:is>
          <x:t xml:space="preserve">Yes</x:t>
        </x:is>
      </x:c>
      <x:c r="E246" s="20" t="inlineStr">
        <x:is>
          <x:t xml:space="preserve">Planning / Fieldwork / Completion</x:t>
        </x:is>
      </x:c>
      <x:c r="F246" s="20" t="inlineStr">
        <x:is>
          <x:t xml:space="preserve">Planning</x:t>
        </x:is>
      </x:c>
      <x:c r="G246" s="21" t="inlineStr">
        <x:is>
          <x:t xml:space="preserve">WP_INDEX</x:t>
        </x:is>
      </x:c>
    </x:row>
    <x:row r="247">
      <x:c r="A247" s="20" t="inlineStr">
        <x:is>
          <x:t xml:space="preserve">WP_Index</x:t>
        </x:is>
      </x:c>
      <x:c r="B247" s="20" t="inlineStr">
        <x:is>
          <x:t xml:space="preserve">Required_Flag</x:t>
        </x:is>
      </x:c>
      <x:c r="C247" s="21" t="inlineStr">
        <x:is>
          <x:t xml:space="preserve">Dropdown:YesNo</x:t>
        </x:is>
      </x:c>
      <x:c r="D247" s="21" t="inlineStr">
        <x:is>
          <x:t xml:space="preserve">Yes</x:t>
        </x:is>
      </x:c>
      <x:c r="E247" s="20" t="inlineStr">
        <x:is>
          <x:t xml:space="preserve">Required?</x:t>
        </x:is>
      </x:c>
      <x:c r="F247" s="20" t="inlineStr">
        <x:is>
          <x:t xml:space="preserve">Yes</x:t>
        </x:is>
      </x:c>
      <x:c r="G247" s="21" t="inlineStr">
        <x:is>
          <x:t xml:space="preserve">WP_INDEX</x:t>
        </x:is>
      </x:c>
    </x:row>
    <x:row r="248">
      <x:c r="A248" s="20" t="inlineStr">
        <x:is>
          <x:t xml:space="preserve">WP_Index</x:t>
        </x:is>
      </x:c>
      <x:c r="B248" s="20" t="inlineStr">
        <x:is>
          <x:t xml:space="preserve">Trigger_Source</x:t>
        </x:is>
      </x:c>
      <x:c r="C248" s="21" t="inlineStr">
        <x:is>
          <x:t xml:space="preserve">Text</x:t>
        </x:is>
      </x:c>
      <x:c r="D248" s="21" t="inlineStr">
        <x:is>
          <x:t xml:space="preserve">No</x:t>
        </x:is>
      </x:c>
      <x:c r="E248" s="20" t="inlineStr">
        <x:is>
          <x:t xml:space="preserve">Source engine / condition</x:t>
        </x:is>
      </x:c>
      <x:c r="F248" s="20" t="inlineStr">
        <x:is>
          <x:t xml:space="preserve">WP_Trigger_Engine</x:t>
        </x:is>
      </x:c>
      <x:c r="G248" s="21" t="inlineStr">
        <x:is>
          <x:t xml:space="preserve">WP_INDEX</x:t>
        </x:is>
      </x:c>
    </x:row>
    <x:row r="249">
      <x:c r="A249" s="20" t="inlineStr">
        <x:is>
          <x:t xml:space="preserve">WP_Index</x:t>
        </x:is>
      </x:c>
      <x:c r="B249" s="20" t="inlineStr">
        <x:is>
          <x:t xml:space="preserve">Status</x:t>
        </x:is>
      </x:c>
      <x:c r="C249" s="21" t="inlineStr">
        <x:is>
          <x:t xml:space="preserve">Dropdown:WP_Status</x:t>
        </x:is>
      </x:c>
      <x:c r="D249" s="21" t="inlineStr">
        <x:is>
          <x:t xml:space="preserve">Yes</x:t>
        </x:is>
      </x:c>
      <x:c r="E249" s="20" t="inlineStr">
        <x:is>
          <x:t xml:space="preserve">Status</x:t>
        </x:is>
      </x:c>
      <x:c r="F249" s="20" t="inlineStr">
        <x:is>
          <x:t xml:space="preserve">Prepared</x:t>
        </x:is>
      </x:c>
      <x:c r="G249" s="21" t="inlineStr">
        <x:is>
          <x:t xml:space="preserve">WP_INDEX</x:t>
        </x:is>
      </x:c>
    </x:row>
    <x:row r="250">
      <x:c r="A250" s="20" t="inlineStr">
        <x:is>
          <x:t xml:space="preserve">WP_Index</x:t>
        </x:is>
      </x:c>
      <x:c r="B250" s="20" t="inlineStr">
        <x:is>
          <x:t xml:space="preserve">Prepared_By</x:t>
        </x:is>
      </x:c>
      <x:c r="C250" s="21" t="inlineStr">
        <x:is>
          <x:t xml:space="preserve">Text</x:t>
        </x:is>
      </x:c>
      <x:c r="D250" s="21" t="inlineStr">
        <x:is>
          <x:t xml:space="preserve">No</x:t>
        </x:is>
      </x:c>
      <x:c r="E250" s="20" t="inlineStr">
        <x:is>
          <x:t xml:space="preserve">Preparer</x:t>
        </x:is>
      </x:c>
      <x:c r="F250" s="20" t="inlineStr">
        <x:is>
          <x:t xml:space="preserve">Associate 1</x:t>
        </x:is>
      </x:c>
      <x:c r="G250" s="21" t="inlineStr">
        <x:is>
          <x:t xml:space="preserve">WP_INDEX</x:t>
        </x:is>
      </x:c>
    </x:row>
    <x:row r="251">
      <x:c r="A251" s="20" t="inlineStr">
        <x:is>
          <x:t xml:space="preserve">WP_Index</x:t>
        </x:is>
      </x:c>
      <x:c r="B251" s="20" t="inlineStr">
        <x:is>
          <x:t xml:space="preserve">Reviewed_By</x:t>
        </x:is>
      </x:c>
      <x:c r="C251" s="21" t="inlineStr">
        <x:is>
          <x:t xml:space="preserve">Text</x:t>
        </x:is>
      </x:c>
      <x:c r="D251" s="21" t="inlineStr">
        <x:is>
          <x:t xml:space="preserve">No</x:t>
        </x:is>
      </x:c>
      <x:c r="E251" s="20" t="inlineStr">
        <x:is>
          <x:t xml:space="preserve">Reviewer</x:t>
        </x:is>
      </x:c>
      <x:c r="F251" s="20" t="inlineStr">
        <x:is>
          <x:t xml:space="preserve">Manager 1</x:t>
        </x:is>
      </x:c>
      <x:c r="G251" s="21" t="inlineStr">
        <x:is>
          <x:t xml:space="preserve">WP_INDEX</x:t>
        </x:is>
      </x:c>
    </x:row>
    <x:row r="252">
      <x:c r="A252" s="20" t="inlineStr">
        <x:is>
          <x:t xml:space="preserve">WP_Index</x:t>
        </x:is>
      </x:c>
      <x:c r="B252" s="20" t="inlineStr">
        <x:is>
          <x:t xml:space="preserve">Conclusion</x:t>
        </x:is>
      </x:c>
      <x:c r="C252" s="21" t="inlineStr">
        <x:is>
          <x:t xml:space="preserve">Text</x:t>
        </x:is>
      </x:c>
      <x:c r="D252" s="21" t="inlineStr">
        <x:is>
          <x:t xml:space="preserve">No</x:t>
        </x:is>
      </x:c>
      <x:c r="E252" s="20" t="inlineStr">
        <x:is>
          <x:t xml:space="preserve">Conclusion</x:t>
        </x:is>
      </x:c>
      <x:c r="F252" s="20" t="inlineStr">
        <x:is>
          <x:t xml:space="preserve">Signed engagement letter on file</x:t>
        </x:is>
      </x:c>
      <x:c r="G252" s="21" t="inlineStr">
        <x:is>
          <x:t xml:space="preserve">WP_INDEX</x:t>
        </x:is>
      </x:c>
    </x:row>
    <x:row r="253">
      <x:c r="A253" s="20" t="inlineStr">
        <x:is>
          <x:t xml:space="preserve">WP_Index</x:t>
        </x:is>
      </x:c>
      <x:c r="B253" s="20" t="inlineStr">
        <x:is>
          <x:t xml:space="preserve">Evidence_Count</x:t>
        </x:is>
      </x:c>
      <x:c r="C253" s="21" t="inlineStr">
        <x:is>
          <x:t xml:space="preserve">Number</x:t>
        </x:is>
      </x:c>
      <x:c r="D253" s="21" t="inlineStr">
        <x:is>
          <x:t xml:space="preserve">No</x:t>
        </x:is>
      </x:c>
      <x:c r="E253" s="20" t="inlineStr">
        <x:is>
          <x:t xml:space="preserve">Linked evidence count</x:t>
        </x:is>
      </x:c>
      <x:c r="F253" s="20" t="inlineStr">
        <x:is>
          <x:t xml:space="preserve">1</x:t>
        </x:is>
      </x:c>
      <x:c r="G253" s="21" t="inlineStr">
        <x:is>
          <x:t xml:space="preserve">WP_INDEX</x:t>
        </x:is>
      </x:c>
    </x:row>
    <x:row r="254">
      <x:c r="A254" s="20" t="inlineStr">
        <x:is>
          <x:t xml:space="preserve">Review_Signoff</x:t>
        </x:is>
      </x:c>
      <x:c r="B254" s="20" t="inlineStr">
        <x:is>
          <x:t xml:space="preserve">Log_ID</x:t>
        </x:is>
      </x:c>
      <x:c r="C254" s="21" t="inlineStr">
        <x:is>
          <x:t xml:space="preserve">Text</x:t>
        </x:is>
      </x:c>
      <x:c r="D254" s="21" t="inlineStr">
        <x:is>
          <x:t xml:space="preserve">Yes</x:t>
        </x:is>
      </x:c>
      <x:c r="E254" s="20" t="inlineStr">
        <x:is>
          <x:t xml:space="preserve">Unique sign-off id</x:t>
        </x:is>
      </x:c>
      <x:c r="F254" s="20" t="inlineStr">
        <x:is>
          <x:t xml:space="preserve">SGN-0001</x:t>
        </x:is>
      </x:c>
      <x:c r="G254" s="21" t="inlineStr">
        <x:is>
          <x:t xml:space="preserve">REVIEW_SIGNOFF</x:t>
        </x:is>
      </x:c>
    </x:row>
    <x:row r="255">
      <x:c r="A255" s="20" t="inlineStr">
        <x:is>
          <x:t xml:space="preserve">Review_Signoff</x:t>
        </x:is>
      </x:c>
      <x:c r="B255" s="20" t="inlineStr">
        <x:is>
          <x:t xml:space="preserve">Engagement_ID</x:t>
        </x:is>
      </x:c>
      <x:c r="C255" s="21" t="inlineStr">
        <x:is>
          <x:t xml:space="preserve">Text</x:t>
        </x:is>
      </x:c>
      <x:c r="D255" s="21" t="inlineStr">
        <x:is>
          <x:t xml:space="preserve">Yes</x:t>
        </x:is>
      </x:c>
      <x:c r="E255" s="20" t="inlineStr">
        <x:is>
          <x:t xml:space="preserve">Engagement reference</x:t>
        </x:is>
      </x:c>
      <x:c r="F255" s="20" t="inlineStr">
        <x:is>
          <x:t xml:space="preserve">ENG-001</x:t>
        </x:is>
      </x:c>
      <x:c r="G255" s="21" t="inlineStr">
        <x:is>
          <x:t xml:space="preserve">REVIEW_SIGNOFF</x:t>
        </x:is>
      </x:c>
    </x:row>
    <x:row r="256">
      <x:c r="A256" s="20" t="inlineStr">
        <x:is>
          <x:t xml:space="preserve">Review_Signoff</x:t>
        </x:is>
      </x:c>
      <x:c r="B256" s="20" t="inlineStr">
        <x:is>
          <x:t xml:space="preserve">Stage</x:t>
        </x:is>
      </x:c>
      <x:c r="C256" s="21" t="inlineStr">
        <x:is>
          <x:t xml:space="preserve">Text</x:t>
        </x:is>
      </x:c>
      <x:c r="D256" s="21" t="inlineStr">
        <x:is>
          <x:t xml:space="preserve">Yes</x:t>
        </x:is>
      </x:c>
      <x:c r="E256" s="20" t="inlineStr">
        <x:is>
          <x:t xml:space="preserve">Planning / Fieldwork / Completion</x:t>
        </x:is>
      </x:c>
      <x:c r="F256" s="20" t="inlineStr">
        <x:is>
          <x:t xml:space="preserve">Planning</x:t>
        </x:is>
      </x:c>
      <x:c r="G256" s="21" t="inlineStr">
        <x:is>
          <x:t xml:space="preserve">REVIEW_SIGNOFF</x:t>
        </x:is>
      </x:c>
    </x:row>
    <x:row r="257">
      <x:c r="A257" s="20" t="inlineStr">
        <x:is>
          <x:t xml:space="preserve">Review_Signoff</x:t>
        </x:is>
      </x:c>
      <x:c r="B257" s="20" t="inlineStr">
        <x:is>
          <x:t xml:space="preserve">Reviewer_Level</x:t>
        </x:is>
      </x:c>
      <x:c r="C257" s="21" t="inlineStr">
        <x:is>
          <x:t xml:space="preserve">Text</x:t>
        </x:is>
      </x:c>
      <x:c r="D257" s="21" t="inlineStr">
        <x:is>
          <x:t xml:space="preserve">Yes</x:t>
        </x:is>
      </x:c>
      <x:c r="E257" s="20" t="inlineStr">
        <x:is>
          <x:t xml:space="preserve">Senior / Manager / Partner</x:t>
        </x:is>
      </x:c>
      <x:c r="F257" s="20" t="inlineStr">
        <x:is>
          <x:t xml:space="preserve">Manager</x:t>
        </x:is>
      </x:c>
      <x:c r="G257" s="21" t="inlineStr">
        <x:is>
          <x:t xml:space="preserve">REVIEW_SIGNOFF</x:t>
        </x:is>
      </x:c>
    </x:row>
    <x:row r="258">
      <x:c r="A258" s="20" t="inlineStr">
        <x:is>
          <x:t xml:space="preserve">Review_Signoff</x:t>
        </x:is>
      </x:c>
      <x:c r="B258" s="20" t="inlineStr">
        <x:is>
          <x:t xml:space="preserve">Reviewed_Item</x:t>
        </x:is>
      </x:c>
      <x:c r="C258" s="21" t="inlineStr">
        <x:is>
          <x:t xml:space="preserve">Text</x:t>
        </x:is>
      </x:c>
      <x:c r="D258" s="21" t="inlineStr">
        <x:is>
          <x:t xml:space="preserve">Yes</x:t>
        </x:is>
      </x:c>
      <x:c r="E258" s="20" t="inlineStr">
        <x:is>
          <x:t xml:space="preserve">What was reviewed</x:t>
        </x:is>
      </x:c>
      <x:c r="F258" s="20" t="inlineStr">
        <x:is>
          <x:t xml:space="preserve">Entity profile and planning setup</x:t>
        </x:is>
      </x:c>
      <x:c r="G258" s="21" t="inlineStr">
        <x:is>
          <x:t xml:space="preserve">REVIEW_SIGNOFF</x:t>
        </x:is>
      </x:c>
    </x:row>
    <x:row r="259">
      <x:c r="A259" s="20" t="inlineStr">
        <x:is>
          <x:t xml:space="preserve">Review_Signoff</x:t>
        </x:is>
      </x:c>
      <x:c r="B259" s="20" t="inlineStr">
        <x:is>
          <x:t xml:space="preserve">Review_Date</x:t>
        </x:is>
      </x:c>
      <x:c r="C259" s="21" t="inlineStr">
        <x:is>
          <x:t xml:space="preserve">Date</x:t>
        </x:is>
      </x:c>
      <x:c r="D259" s="21" t="inlineStr">
        <x:is>
          <x:t xml:space="preserve">No</x:t>
        </x:is>
      </x:c>
      <x:c r="E259" s="20" t="inlineStr">
        <x:is>
          <x:t xml:space="preserve">Review date</x:t>
        </x:is>
      </x:c>
      <x:c r="F259" s="20" t="inlineStr">
        <x:is>
          <x:t xml:space="preserve">2026-04-04</x:t>
        </x:is>
      </x:c>
      <x:c r="G259" s="21" t="inlineStr">
        <x:is>
          <x:t xml:space="preserve">REVIEW_SIGNOFF</x:t>
        </x:is>
      </x:c>
    </x:row>
    <x:row r="260">
      <x:c r="A260" s="20" t="inlineStr">
        <x:is>
          <x:t xml:space="preserve">Review_Signoff</x:t>
        </x:is>
      </x:c>
      <x:c r="B260" s="20" t="inlineStr">
        <x:is>
          <x:t xml:space="preserve">Review_Result</x:t>
        </x:is>
      </x:c>
      <x:c r="C260" s="21" t="inlineStr">
        <x:is>
          <x:t xml:space="preserve">Dropdown:Review_Result</x:t>
        </x:is>
      </x:c>
      <x:c r="D260" s="21" t="inlineStr">
        <x:is>
          <x:t xml:space="preserve">Yes</x:t>
        </x:is>
      </x:c>
      <x:c r="E260" s="20" t="inlineStr">
        <x:is>
          <x:t xml:space="preserve">Outcome</x:t>
        </x:is>
      </x:c>
      <x:c r="F260" s="20" t="inlineStr">
        <x:is>
          <x:t xml:space="preserve">Pass</x:t>
        </x:is>
      </x:c>
      <x:c r="G260" s="21" t="inlineStr">
        <x:is>
          <x:t xml:space="preserve">REVIEW_SIGNOFF</x:t>
        </x:is>
      </x:c>
    </x:row>
    <x:row r="261">
      <x:c r="A261" s="20" t="inlineStr">
        <x:is>
          <x:t xml:space="preserve">Review_Signoff</x:t>
        </x:is>
      </x:c>
      <x:c r="B261" s="20" t="inlineStr">
        <x:is>
          <x:t xml:space="preserve">Open_Exceptions</x:t>
        </x:is>
      </x:c>
      <x:c r="C261" s="21" t="inlineStr">
        <x:is>
          <x:t xml:space="preserve">Number</x:t>
        </x:is>
      </x:c>
      <x:c r="D261" s="21" t="inlineStr">
        <x:is>
          <x:t xml:space="preserve">No</x:t>
        </x:is>
      </x:c>
      <x:c r="E261" s="20" t="inlineStr">
        <x:is>
          <x:t xml:space="preserve">Count of exceptions</x:t>
        </x:is>
      </x:c>
      <x:c r="F261" s="20" t="inlineStr">
        <x:is>
          <x:t xml:space="preserve">0</x:t>
        </x:is>
      </x:c>
      <x:c r="G261" s="21" t="inlineStr">
        <x:is>
          <x:t xml:space="preserve">REVIEW_SIGNOFF</x:t>
        </x:is>
      </x:c>
    </x:row>
    <x:row r="262">
      <x:c r="A262" s="20" t="inlineStr">
        <x:is>
          <x:t xml:space="preserve">Review_Signoff</x:t>
        </x:is>
      </x:c>
      <x:c r="B262" s="20" t="inlineStr">
        <x:is>
          <x:t xml:space="preserve">Reviewer_Comment</x:t>
        </x:is>
      </x:c>
      <x:c r="C262" s="21" t="inlineStr">
        <x:is>
          <x:t xml:space="preserve">Text</x:t>
        </x:is>
      </x:c>
      <x:c r="D262" s="21" t="inlineStr">
        <x:is>
          <x:t xml:space="preserve">No</x:t>
        </x:is>
      </x:c>
      <x:c r="E262" s="20" t="inlineStr">
        <x:is>
          <x:t xml:space="preserve">Comment</x:t>
        </x:is>
      </x:c>
      <x:c r="F262" s="20" t="inlineStr">
        <x:is>
          <x:t xml:space="preserve">Planning file setup complete</x:t>
        </x:is>
      </x:c>
      <x:c r="G262" s="21" t="inlineStr">
        <x:is>
          <x:t xml:space="preserve">REVIEW_SIGNOFF</x:t>
        </x:is>
      </x:c>
    </x:row>
    <x:row r="263">
      <x:c r="A263" s="20" t="inlineStr">
        <x:is>
          <x:t xml:space="preserve">Review_Signoff</x:t>
        </x:is>
      </x:c>
      <x:c r="B263" s="20" t="inlineStr">
        <x:is>
          <x:t xml:space="preserve">Signed_Off_By</x:t>
        </x:is>
      </x:c>
      <x:c r="C263" s="21" t="inlineStr">
        <x:is>
          <x:t xml:space="preserve">Text</x:t>
        </x:is>
      </x:c>
      <x:c r="D263" s="21" t="inlineStr">
        <x:is>
          <x:t xml:space="preserve">No</x:t>
        </x:is>
      </x:c>
      <x:c r="E263" s="20" t="inlineStr">
        <x:is>
          <x:t xml:space="preserve">Name</x:t>
        </x:is>
      </x:c>
      <x:c r="F263" s="20" t="inlineStr">
        <x:is>
          <x:t xml:space="preserve">Manager 1</x:t>
        </x:is>
      </x:c>
      <x:c r="G263" s="21" t="inlineStr">
        <x:is>
          <x:t xml:space="preserve">REVIEW_SIGNOFF</x:t>
        </x:is>
      </x:c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12007af311de4ebf"/>
  </x:tableParts>
</x:worksheet>
</file>